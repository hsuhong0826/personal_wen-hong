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yhsu39\Desktop\"/>
    </mc:Choice>
  </mc:AlternateContent>
  <xr:revisionPtr revIDLastSave="0" documentId="8_{A438D465-BAD6-4D2D-BB8D-25F257DDB5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報價單 " sheetId="11" r:id="rId1"/>
    <sheet name="注意事項" sheetId="15" r:id="rId2"/>
    <sheet name="各品牌散光供應範圍" sheetId="12" r:id="rId3"/>
    <sheet name="匯款帳號" sheetId="14" r:id="rId4"/>
  </sheets>
  <definedNames>
    <definedName name="Z_24CE2616_A277_483C_AEDB_344B59918D61_.wvu.Cols" localSheetId="0" hidden="1">'報價單 '!#REF!</definedName>
    <definedName name="Z_49DEB5DD_D373_44EC_ACDD_EF23E8DD120E_.wvu.Cols" localSheetId="0" hidden="1">'報價單 '!#REF!</definedName>
  </definedNames>
  <calcPr calcId="191029"/>
  <customWorkbookViews>
    <customWorkbookView name="SGS - 個人檢視畫面" guid="{1E266354-2428-48B4-97E0-25C3071A9A93}" mergeInterval="0" personalView="1" maximized="1" windowWidth="1020" windowHeight="554" activeSheetId="1" showComments="commNone"/>
    <customWorkbookView name="Terence_Kuo - 個人檢視畫面" guid="{36F88870-28C4-4ED8-9F9B-846182B0ECCE}" mergeInterval="0" personalView="1" maximized="1" windowWidth="1436" windowHeight="667" activeSheetId="1"/>
    <customWorkbookView name="ted_liao - 個人檢視畫面" guid="{5C815E63-1746-4703-A5CA-A45A94F90698}" mergeInterval="0" personalView="1" maximized="1" windowWidth="1020" windowHeight="599" activeSheetId="1"/>
    <customWorkbookView name="apple_chang - 個人檢視畫面" guid="{B1CA913C-D777-4E5B-A86D-84652C08F3F5}" mergeInterval="0" personalView="1" maximized="1" windowWidth="1436" windowHeight="720" activeSheetId="1"/>
    <customWorkbookView name="kelly_liu - 個人檢視畫面" guid="{39017D96-DE70-4E80-90CC-8993231E8CC9}" mergeInterval="0" personalView="1" maximized="1" windowWidth="1020" windowHeight="573" activeSheetId="1"/>
    <customWorkbookView name="azrael_tao - 個人檢視畫面" guid="{162117E0-5AF5-4BC9-A762-7AD05F5519A0}" mergeInterval="0" personalView="1" maximized="1" windowWidth="896" windowHeight="1244" activeSheetId="1"/>
    <customWorkbookView name="sun_cheng - 個人檢視畫面" guid="{D2442BF3-D3E0-427D-86C3-9382C001C02E}" mergeInterval="0" personalView="1" maximized="1" windowWidth="1020" windowHeight="566" activeSheetId="1" showComments="commIndAndComment"/>
    <customWorkbookView name="alma_chen - 個人檢視畫面" guid="{B3B1D065-4CDF-46E4-A141-F0DA95416C88}" mergeInterval="0" personalView="1" maximized="1" xWindow="1" yWindow="1" windowWidth="1020" windowHeight="539" activeSheetId="1"/>
    <customWorkbookView name="jennifer_wang - 個人檢視畫面" guid="{575E47E4-A79C-4901-814C-11821C488572}" mergeInterval="0" personalView="1" maximized="1" windowWidth="1020" windowHeight="603" activeSheetId="1"/>
    <customWorkbookView name="olivia_tsai - 個人檢視畫面" guid="{06941578-429C-4AB7-9AB9-EC3BE29203A9}" mergeInterval="0" personalView="1" maximized="1" windowWidth="1020" windowHeight="565" activeSheetId="1"/>
    <customWorkbookView name="michael_hung - 個人檢視畫面" guid="{C7B4C40C-3A2E-40F4-9508-B4566D3C5876}" mergeInterval="0" personalView="1" maximized="1" windowWidth="1436" windowHeight="678" activeSheetId="1"/>
    <customWorkbookView name="ken_wei - 個人檢視畫面" guid="{75F70ACB-27ED-44C4-AD0B-CBBB3EEFF1A9}" mergeInterval="0" personalView="1" maximized="1" windowWidth="1436" windowHeight="698" activeSheetId="1"/>
    <customWorkbookView name="yiling_chen - 個人檢視畫面" guid="{C31FAD41-6F2C-4883-961D-C3D5E977E90A}" mergeInterval="0" personalView="1" maximized="1" windowWidth="1020" windowHeight="599" activeSheetId="1"/>
    <customWorkbookView name="mina_chang - 個人檢視畫面" guid="{596F4640-56FB-4130-9E78-0DA0B78F98CE}" mergeInterval="0" personalView="1" maximized="1" windowWidth="1276" windowHeight="840" activeSheetId="1"/>
    <customWorkbookView name="yufen_lin - 個人檢視畫面" guid="{3A5B2B38-198D-4C9E-898D-3CE218B19D64}" mergeInterval="0" personalView="1" maximized="1" windowWidth="1436" windowHeight="703" activeSheetId="1"/>
    <customWorkbookView name="rita_yang - 個人檢視畫面" guid="{72C4755A-7064-41AF-B06F-F69EDC7F7D77}" mergeInterval="0" personalView="1" maximized="1" windowWidth="1276" windowHeight="744" activeSheetId="1"/>
    <customWorkbookView name="sylvia_chen - 個人檢視畫面" guid="{B0E4569E-512E-479F-822A-E3A8C0022415}" mergeInterval="0" personalView="1" maximized="1" windowWidth="1276" windowHeight="528" activeSheetId="1" showComments="commIndAndComment"/>
    <customWorkbookView name="teresa_chu - 個人檢視畫面" guid="{F2CF41F7-F1B7-4584-B492-3CEAF4BBEDC5}" mergeInterval="0" personalView="1" maximized="1" windowWidth="1148" windowHeight="688" activeSheetId="1"/>
    <customWorkbookView name="jenny_mei - 個人檢視畫面" guid="{2E5E4751-83C1-4287-A3F0-7E8F866B8AC1}" mergeInterval="0" personalView="1" maximized="1" windowWidth="1020" windowHeight="513" activeSheetId="1"/>
    <customWorkbookView name="queenie_chiu - 個人檢視畫面" guid="{4B3485E3-178A-448E-9CFF-A5473B852764}" mergeInterval="0" personalView="1" maximized="1" windowWidth="1020" windowHeight="539" activeSheetId="1"/>
    <customWorkbookView name="Wisely_Huang - 個人檢視畫面" guid="{4D37459C-B486-4799-A78C-E341C11025B7}" mergeInterval="0" personalView="1" maximized="1" windowWidth="1020" windowHeight="599" activeSheetId="1"/>
    <customWorkbookView name="celine_yang - 個人檢視畫面" guid="{1CB559CD-1566-483C-B7A9-9DA9380F7645}" mergeInterval="0" personalView="1" maximized="1" windowWidth="1012" windowHeight="505" activeSheetId="1" showComments="commIndAndComment"/>
    <customWorkbookView name="penny_lin - 個人檢視畫面" guid="{64D634BB-765A-462C-B341-5E3C2234FC77}" mergeInterval="0" personalView="1" maximized="1" windowWidth="1020" windowHeight="540" activeSheetId="1" showComments="commIndAndComment"/>
    <customWorkbookView name="claire_chen - 個人檢視畫面" guid="{F59EB6FF-08D0-420F-B36C-9B8416054CC1}" mergeInterval="0" personalView="1" maximized="1" windowWidth="1020" windowHeight="550" activeSheetId="1"/>
    <customWorkbookView name="ivy-tw_lin - 個人檢視畫面" guid="{294B99DA-D26E-4755-8B82-C138EFD8928A}" mergeInterval="0" personalView="1" maximized="1" windowWidth="1011" windowHeight="501" activeSheetId="1"/>
    <customWorkbookView name="hanks_huang - 個人檢視畫面" guid="{CC5D43EA-7690-4F2B-94B4-F087911D8D3E}" mergeInterval="0" personalView="1" maximized="1" windowWidth="1011" windowHeight="591" activeSheetId="1"/>
    <customWorkbookView name="Katerine_Chen - 個人檢視畫面" guid="{A9A8087F-D5F7-48B2-94B5-F7FCA47420D3}" mergeInterval="0" personalView="1" maximized="1" windowWidth="1020" windowHeight="561" activeSheetId="1"/>
    <customWorkbookView name="angela_weng - 個人檢視畫面" guid="{8DE2726F-BDCE-459C-9883-0ACC4064763A}" mergeInterval="0" personalView="1" maximized="1" windowWidth="1020" windowHeight="562" activeSheetId="1"/>
    <customWorkbookView name="claire_yu - 個人檢視畫面" guid="{DFCCBE51-38F5-4A87-8CD5-C33AA2B46463}" mergeInterval="0" personalView="1" maximized="1" windowWidth="1020" windowHeight="536" activeSheetId="1"/>
    <customWorkbookView name="Sophia-TW_Wu - 個人檢視畫面" guid="{4820B319-8292-4A8A-9384-28D6B602E266}" mergeInterval="0" personalView="1" maximized="1" windowWidth="1020" windowHeight="629" activeSheetId="1"/>
    <customWorkbookView name="Amigo_Hsu - 個人檢視畫面" guid="{95C4E14E-F114-4317-8EEE-379E5215FC54}" mergeInterval="0" personalView="1" maximized="1" windowWidth="1276" windowHeight="604" activeSheetId="1"/>
    <customWorkbookView name="michelle-tw_wu - 個人檢視畫面" guid="{E2449330-BA91-40E3-9277-9286A1A0D0C4}" mergeInterval="0" personalView="1" maximized="1" windowWidth="1148" windowHeight="609" activeSheetId="1"/>
    <customWorkbookView name="kelly_chang - 個人檢視畫面" guid="{13569CE0-BFFD-4977-9EFD-ABD44CBC3101}" mergeInterval="0" personalView="1" maximized="1" windowWidth="1195" windowHeight="534" activeSheetId="1"/>
    <customWorkbookView name="vicky_jeng - 個人檢視畫面" guid="{42B39496-3CD0-4B50-9776-2BF559670212}" mergeInterval="0" personalView="1" maximized="1" windowWidth="1276" windowHeight="731" activeSheetId="1"/>
    <customWorkbookView name="Evon_Wu - 個人檢視畫面" guid="{ADAB3161-C0C5-413F-9831-8977227CEA88}" mergeInterval="0" personalView="1" maximized="1" windowWidth="1436" windowHeight="733" activeSheetId="1"/>
    <customWorkbookView name="lena_chen - 個人檢視畫面" guid="{65C6F2C1-44D5-489A-862A-55A5CCF4C81F}" mergeInterval="0" personalView="1" maximized="1" windowWidth="1012" windowHeight="305" activeSheetId="1"/>
    <customWorkbookView name="rebecca-tw_lee - 個人檢視畫面" guid="{EF6CBC70-BB21-4399-A327-EFE31EB2E52B}" mergeInterval="0" personalView="1" maximized="1" windowWidth="1020" windowHeight="513" activeSheetId="1"/>
    <customWorkbookView name="Judy_Chang - 個人檢視畫面" guid="{725BD046-7647-435C-8254-20EC646D2B50}" mergeInterval="0" personalView="1" maximized="1" windowWidth="1020" windowHeight="566" activeSheetId="1" showComments="commIndAndComment"/>
    <customWorkbookView name="Jade_Chou - 個人檢視畫面" guid="{C308E51A-C00F-4067-8D2A-C3F578D50608}" mergeInterval="0" personalView="1" maximized="1" windowWidth="1020" windowHeight="592" activeSheetId="1"/>
    <customWorkbookView name="gigi_yeh - 個人檢視畫面" guid="{4A53D468-58DB-443E-BEFB-D3F859CDF289}" mergeInterval="0" personalView="1" maximized="1" windowWidth="1276" windowHeight="758" activeSheetId="1"/>
    <customWorkbookView name="ivy_chang - 個人檢視畫面" guid="{5DA23D69-00DA-4378-8AA3-76240028ADCB}" mergeInterval="0" personalView="1" maximized="1" windowWidth="1276" windowHeight="599" activeSheetId="1"/>
    <customWorkbookView name="Rita_Chang - 個人檢視畫面" guid="{23C3BDF8-59C6-49CD-BE31-9E1C8250D85D}" mergeInterval="0" personalView="1" maximized="1" windowWidth="1436" windowHeight="704" activeSheetId="1"/>
    <customWorkbookView name="Vicky_Cheng - 個人檢視畫面" guid="{6C294D50-F228-4B05-B51F-8020895326AF}" mergeInterval="0" personalView="1" maximized="1" windowWidth="1436" windowHeight="707" activeSheetId="1"/>
    <customWorkbookView name="candy-tw_cheng - 個人檢視畫面" guid="{032A381B-F9A9-405E-9F9A-28E6F4CE2DC6}" mergeInterval="0" personalView="1" maximized="1" windowWidth="1012" windowHeight="580" activeSheetId="1"/>
    <customWorkbookView name="lulu_lu - 個人檢視畫面" guid="{823EFA6A-AD2A-4AD7-9247-8B915D5BEE76}" mergeInterval="0" personalView="1" maximized="1" windowWidth="1436" windowHeight="697" activeSheetId="1"/>
    <customWorkbookView name="jessie_chang - 個人檢視畫面" guid="{9225AA57-25CF-4335-9BE2-2CF4700F0829}" mergeInterval="0" personalView="1" maximized="1" windowWidth="1436" windowHeight="641" activeSheetId="1"/>
    <customWorkbookView name="cherry_yu - 個人檢視畫面" guid="{EF9FB945-FAE5-4E89-8F6F-18337E99257A}" mergeInterval="0" personalView="1" maximized="1" windowWidth="1020" windowHeight="565" activeSheetId="1"/>
    <customWorkbookView name="Yun_Lee - 個人檢視畫面" guid="{B43CD6F5-C7EE-4F50-869F-0BBE73371EE5}" mergeInterval="0" personalView="1" maximized="1" windowWidth="1436" windowHeight="704" activeSheetId="1" showComments="commIndAndComment"/>
    <customWorkbookView name="Sylvia_tsai - 個人檢視畫面" guid="{4BF37ADF-6D4C-4DDA-A81B-FAEB2452C131}" mergeInterval="0" personalView="1" maximized="1" windowWidth="1020" windowHeight="573" activeSheetId="1"/>
    <customWorkbookView name="mei_tsai - 個人檢視畫面" guid="{79ADFF9B-83E2-4DC4-8DBB-D2FFDCE80AD4}" mergeInterval="0" personalView="1" maximized="1" windowWidth="1148" windowHeight="688" activeSheetId="1"/>
    <customWorkbookView name="jennifer_tsai - 個人檢視畫面" guid="{210C336B-3ABA-4A7D-BD2D-714E3F086C56}" mergeInterval="0" personalView="1" maximized="1" windowWidth="1020" windowHeight="571" activeSheetId="1"/>
    <customWorkbookView name="ashelly_wu - 個人檢視畫面" guid="{5374EDB7-304F-475F-A6AA-17D5101C6EDA}" mergeInterval="0" personalView="1" maximized="1" windowWidth="1020" windowHeight="573" activeSheetId="1"/>
    <customWorkbookView name="youtry_peng - 個人檢視畫面" guid="{2C850826-362F-47F7-A260-BC1044BB172E}" mergeInterval="0" personalView="1" maximized="1" windowWidth="1074" windowHeight="518" activeSheetId="1"/>
    <customWorkbookView name="virginia_chen - 個人檢視畫面" guid="{0E4A5539-60AB-4CFE-9904-59FD5C06A10B}" mergeInterval="0" personalView="1" maximized="1" windowWidth="1436" windowHeight="751" activeSheetId="1" showStatusbar="0"/>
    <customWorkbookView name="ivy_cheng - 個人檢視畫面" guid="{B8262D1C-836A-4FED-B4DE-25ABA634B0C7}" mergeInterval="0" personalView="1" maximized="1" windowWidth="1020" windowHeight="572" activeSheetId="1"/>
    <customWorkbookView name="lisa_tang - 個人檢視畫面" guid="{852A1707-8EB8-4DE9-9E84-D2413F79EDC5}" mergeInterval="0" personalView="1" maximized="1" windowWidth="1020" windowHeight="610" activeSheetId="1"/>
    <customWorkbookView name="queena_teng - 個人檢視畫面" guid="{AEFA0E92-55FB-4D3D-A003-858E541A649B}" mergeInterval="0" personalView="1" maximized="1" windowWidth="1276" windowHeight="657" activeSheetId="1"/>
    <customWorkbookView name="Cindy_Yu - 個人檢視畫面" guid="{79B75A68-9330-4679-89E3-47978F198078}" mergeInterval="0" personalView="1" maximized="1" windowWidth="1276" windowHeight="572" activeSheetId="1"/>
    <customWorkbookView name="Bowen_Chen - 個人檢視畫面" guid="{E2CFFF07-1866-4707-A4CE-8B5E54A088B5}" mergeInterval="0" personalView="1" maximized="1" windowWidth="994" windowHeight="569" activeSheetId="1"/>
    <customWorkbookView name="tommy_wang - 個人檢視畫面" guid="{4F181335-E4B1-4971-AF77-02ADFC677F63}" mergeInterval="0" personalView="1" maximized="1" windowWidth="1276" windowHeight="605" activeSheetId="1"/>
    <customWorkbookView name="alan-tw_chen - 個人檢視畫面" guid="{EEFFBE2F-5BBF-4200-B5C4-00837BC02654}" mergeInterval="0" personalView="1" maximized="1" windowWidth="1436" windowHeight="750" activeSheetId="1"/>
    <customWorkbookView name="Mei-tw_Tsai - 個人檢視畫面" guid="{2441A3E1-6510-4A1E-AB78-B3C0C7CCF04C}" mergeInterval="0" personalView="1" maximized="1" windowWidth="1020" windowHeight="618" activeSheetId="1"/>
    <customWorkbookView name="Vicky_Huang - 個人檢視畫面" guid="{1427C00D-4A0B-4B26-972E-498CC33A54F4}" mergeInterval="0" personalView="1" maximized="1" windowWidth="1020" windowHeight="599" activeSheetId="1"/>
    <customWorkbookView name="Peg_Chen - 個人檢視畫面" guid="{1B731EFC-B124-419D-ACD7-F1F406DC1868}" mergeInterval="0" personalView="1" maximized="1" windowWidth="1276" windowHeight="565" activeSheetId="1"/>
    <customWorkbookView name="nancy_yang - 個人檢視畫面" guid="{EF294535-CEF2-49DC-A4C9-E39D3F8CE794}" mergeInterval="0" personalView="1" maximized="1" windowWidth="1276" windowHeight="491" activeSheetId="1"/>
    <customWorkbookView name="Viko_Liu - 個人檢視畫面" guid="{1BD5791F-D35D-4773-A288-582B8F0373F1}" mergeInterval="0" personalView="1" maximized="1" windowWidth="1436" windowHeight="697" activeSheetId="1"/>
    <customWorkbookView name="Emma_su - 個人檢視畫面" guid="{E794562B-DABB-46F0-9FCD-71C3DA7C68C5}" mergeInterval="0" personalView="1" maximized="1" windowWidth="1436" windowHeight="757" activeSheetId="1"/>
    <customWorkbookView name="flora_chang - 個人檢視畫面" guid="{62F0B115-29D0-4564-9F20-EA49ED33B124}" mergeInterval="0" personalView="1" maximized="1" windowWidth="796" windowHeight="397" activeSheetId="1"/>
    <customWorkbookView name="sonia_yu - 個人檢視畫面" guid="{3CAEEBE5-F69C-4359-A61B-A88C6FCC1350}" mergeInterval="0" personalView="1" maximized="1" windowWidth="1068" windowHeight="723" activeSheetId="1"/>
    <customWorkbookView name="enya_huang - 個人檢視畫面" guid="{BA0F60DD-B6A1-40FB-9163-0602686D7F0B}" mergeInterval="0" personalView="1" maximized="1" windowWidth="1276" windowHeight="854" activeSheetId="1"/>
    <customWorkbookView name="cindy_wang - 個人檢視畫面" guid="{C5F3B7C8-64F9-488A-B0FA-219A292C6455}" mergeInterval="0" personalView="1" maximized="1" windowWidth="1436" windowHeight="724" activeSheetId="1"/>
    <customWorkbookView name="joyce_lee - 個人檢視畫面" guid="{554A9970-62CE-4C84-B778-5086E15FF9D8}" mergeInterval="0" personalView="1" maximized="1" windowWidth="1276" windowHeight="517" activeSheetId="1" showComments="commIndAndComment"/>
    <customWorkbookView name="cindy_chang - 個人檢視畫面" guid="{FA72C15B-F7D8-432B-8D6C-ED379397E52A}" mergeInterval="0" personalView="1" maximized="1" windowWidth="1020" windowHeight="539" activeSheetId="1"/>
    <customWorkbookView name="karin_yang - 個人檢視畫面" guid="{73DB24F9-C2F5-4B5B-8302-37EDE62B3498}" mergeInterval="0" personalView="1" maximized="1" windowWidth="1020" windowHeight="592" activeSheetId="1"/>
    <customWorkbookView name="melody_su - 個人檢視畫面" guid="{6395EEA8-EF90-4FA6-8776-C66724726D8D}" mergeInterval="0" personalView="1" maximized="1" windowWidth="1436" windowHeight="678" activeSheetId="1"/>
    <customWorkbookView name="jamie_hung - 個人檢視畫面" guid="{C016842F-4E2C-483C-B68C-9C4839DC25C1}" mergeInterval="0" personalView="1" maximized="1" windowWidth="1362" windowHeight="592" activeSheetId="1"/>
    <customWorkbookView name="may_tsai - 個人檢視畫面" guid="{854E6771-4596-416F-AB0C-64A3C7B3B50A}" mergeInterval="0" personalView="1" maximized="1" windowWidth="1020" windowHeight="599" activeSheetId="1"/>
    <customWorkbookView name="sandy_lee - 個人檢視畫面" guid="{93F22887-8FCA-4206-983D-F6EEBA75F17A}" mergeInterval="0" personalView="1" maximized="1" windowWidth="1020" windowHeight="546" activeSheetId="1"/>
    <customWorkbookView name="cathy_tsai - 個人檢視畫面" guid="{9B67CEA5-4134-478A-9E88-EE1B978CB90B}" mergeInterval="0" personalView="1" maximized="1" windowWidth="1020" windowHeight="591" activeSheetId="1"/>
    <customWorkbookView name="wing_yu - 個人檢視畫面" guid="{AC68423F-9C43-4E70-A734-D6515C5ACAB5}" mergeInterval="0" personalView="1" maximized="1" windowWidth="1276" windowHeight="524" activeSheetId="1"/>
    <customWorkbookView name="sami_chen - 個人檢視畫面" guid="{E29FBFAE-AC56-41DC-B424-7F9E8809D0FC}" mergeInterval="0" personalView="1" maximized="1" windowWidth="1276" windowHeight="498" activeSheetId="1"/>
    <customWorkbookView name="yuhsiang_chou - 個人檢視畫面" guid="{3449F644-9CFF-4D61-BFFA-E95BB299B39E}" mergeInterval="0" personalView="1" maximized="1" windowWidth="1276" windowHeight="631" activeSheetId="1"/>
    <customWorkbookView name="Laurie - 個人檢視畫面" guid="{206D334F-1D31-44E5-8269-2A6438135416}" mergeInterval="0" personalView="1" maximized="1" windowWidth="1436" windowHeight="617" activeSheetId="1"/>
    <customWorkbookView name="Sweetheart - 個人檢視畫面" guid="{A5E031AA-AABE-4253-A7D8-4F7BD7F0FA30}" mergeInterval="0" personalView="1" maximized="1" xWindow="1" yWindow="1" windowWidth="1276" windowHeight="525" activeSheetId="1"/>
    <customWorkbookView name="meg_chen - 個人檢視畫面" guid="{7E2FCDAC-6235-425D-9F1F-5E19DC09BFCC}" mergeInterval="0" personalView="1" maximized="1" windowWidth="1276" windowHeight="541" activeSheetId="1"/>
    <customWorkbookView name="SGS TAIWAN LTD - 個人檢視畫面" guid="{D37DE0DE-8C4B-465D-91FD-70B61C168D32}" mergeInterval="0" personalView="1" maximized="1" windowWidth="1020" windowHeight="592" activeSheetId="1"/>
    <customWorkbookView name="michelle_ku - 個人檢視畫面" guid="{A6B05D41-C747-48D3-B887-C38A50436D82}" mergeInterval="0" personalView="1" maximized="1" windowWidth="1276" windowHeight="546" activeSheetId="1"/>
    <customWorkbookView name="Roy_Hsiao - 個人檢視畫面" guid="{ED5A0193-359A-4CB5-BFC6-30BEDA41CFB7}" mergeInterval="0" personalView="1" maximized="1" windowWidth="1020" windowHeight="625" activeSheetId="1"/>
    <customWorkbookView name="Snow_Chu - 個人檢視畫面" guid="{49DEB5DD-D373-44EC-ACDD-EF23E8DD120E}" mergeInterval="0" personalView="1" maximized="1" windowWidth="1020" windowHeight="509" activeSheetId="1"/>
    <customWorkbookView name="kuohao_huang - 個人檢視畫面" guid="{5D19AE42-98BA-4F88-8ABD-30F52ED5728C}" mergeInterval="0" personalView="1" maximized="1" windowWidth="1436" windowHeight="704" activeSheetId="1"/>
    <customWorkbookView name="Star_Chen - 個人檢視畫面" guid="{483BCC00-0A3B-4CDC-AE44-80621F5790AA}" mergeInterval="0" personalView="1" maximized="1" windowWidth="1276" windowHeight="573" activeSheetId="1"/>
    <customWorkbookView name="Bidya_Wang - 個人檢視畫面" guid="{735C81AB-913E-4FE3-9ECE-CC72940B0B31}" mergeInterval="0" personalView="1" maximized="1" windowWidth="1436" windowHeight="678" activeSheetId="1"/>
    <customWorkbookView name="Eva-chiayi_Lin - 個人檢視畫面" guid="{7270D3E1-2681-4F5D-9CE0-D767818FEF56}" mergeInterval="0" personalView="1" maximized="1" windowWidth="1436" windowHeight="704" activeSheetId="1"/>
    <customWorkbookView name="Caroline_Chen - 個人檢視畫面" guid="{24CE2616-A277-483C-AEDB-344B59918D61}" mergeInterval="0" personalView="1" maximized="1" windowWidth="1436" windowHeight="739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1" i="11" l="1"/>
  <c r="F591" i="11" l="1"/>
  <c r="F590" i="11"/>
  <c r="F589" i="11"/>
  <c r="F588" i="11"/>
  <c r="F587" i="11"/>
  <c r="F586" i="11"/>
  <c r="F585" i="11"/>
  <c r="F584" i="11"/>
  <c r="F583" i="11"/>
  <c r="F582" i="11"/>
  <c r="F580" i="11"/>
  <c r="F579" i="11"/>
  <c r="F578" i="11"/>
  <c r="F577" i="11"/>
  <c r="F576" i="11"/>
  <c r="F575" i="11"/>
  <c r="F574" i="11"/>
  <c r="F573" i="11"/>
  <c r="F572" i="11"/>
  <c r="F571" i="11"/>
  <c r="F570" i="11"/>
  <c r="F569" i="11"/>
  <c r="F568" i="11"/>
  <c r="F567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45" i="11"/>
  <c r="F544" i="11"/>
  <c r="F543" i="11"/>
  <c r="F542" i="11"/>
  <c r="F541" i="11"/>
  <c r="F540" i="11"/>
  <c r="F539" i="11"/>
  <c r="F538" i="11"/>
  <c r="F537" i="11"/>
  <c r="F536" i="11"/>
  <c r="F535" i="11"/>
  <c r="F534" i="11"/>
  <c r="F533" i="11"/>
  <c r="F532" i="11"/>
  <c r="F531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K592" i="11" l="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J592" i="11"/>
  <c r="AK592" i="11"/>
  <c r="AL592" i="11"/>
  <c r="AM592" i="11"/>
  <c r="AN592" i="11"/>
  <c r="AO592" i="11"/>
  <c r="AP592" i="11"/>
  <c r="AQ592" i="11"/>
  <c r="AR592" i="11"/>
  <c r="AS592" i="11"/>
  <c r="AT592" i="11"/>
  <c r="AU592" i="11"/>
  <c r="AV592" i="11"/>
  <c r="AW592" i="11"/>
  <c r="AX592" i="11"/>
  <c r="AY592" i="11"/>
  <c r="AZ592" i="11"/>
  <c r="BA592" i="11"/>
  <c r="BB592" i="11"/>
  <c r="BC592" i="11"/>
  <c r="BD592" i="11"/>
  <c r="BE592" i="11"/>
  <c r="BF592" i="11"/>
  <c r="BG592" i="11"/>
  <c r="BH592" i="11"/>
  <c r="BI592" i="11"/>
  <c r="BJ592" i="11"/>
  <c r="BK592" i="11"/>
  <c r="BL592" i="11"/>
  <c r="BM592" i="11"/>
  <c r="BN592" i="11"/>
  <c r="BO592" i="11"/>
  <c r="BP592" i="11"/>
  <c r="J592" i="11"/>
  <c r="I592" i="11"/>
  <c r="F4" i="11" l="1"/>
  <c r="F592" i="11" s="1"/>
  <c r="AO2" i="11" l="1"/>
  <c r="AS2" i="11"/>
  <c r="AW2" i="11"/>
  <c r="BA2" i="11"/>
  <c r="BE2" i="11"/>
  <c r="BI2" i="11"/>
  <c r="BM2" i="11"/>
  <c r="O2" i="11"/>
  <c r="W2" i="11"/>
  <c r="AE2" i="11"/>
  <c r="AA2" i="11"/>
  <c r="S2" i="11"/>
  <c r="AI2" i="11"/>
  <c r="AQ2" i="11"/>
  <c r="AU2" i="11"/>
  <c r="AY2" i="11"/>
  <c r="BC2" i="11"/>
  <c r="BG2" i="11"/>
  <c r="BK2" i="11"/>
  <c r="BO2" i="11"/>
  <c r="Q2" i="11"/>
  <c r="AG2" i="11"/>
  <c r="M2" i="11"/>
  <c r="U2" i="11"/>
  <c r="AK2" i="11"/>
  <c r="Y2" i="11"/>
  <c r="AC2" i="11"/>
  <c r="AM2" i="11"/>
  <c r="K2" i="11"/>
  <c r="I593" i="11"/>
  <c r="I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220615</author>
    <author>lenovo</author>
    <author>ROBERT</author>
  </authors>
  <commentList>
    <comment ref="C4" authorId="0" shapeId="0" xr:uid="{00000000-0006-0000-0000-000001000000}">
      <text>
        <r>
          <rPr>
            <b/>
            <sz val="10"/>
            <color indexed="12"/>
            <rFont val="細明體"/>
            <family val="3"/>
            <charset val="136"/>
          </rPr>
          <t>酷柏睛潤日拋供應度數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G4" authorId="1" shapeId="0" xr:uid="{00000000-0006-0000-0000-000002000000}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登記同一人.贈送片以5片為單位
</t>
        </r>
      </text>
    </comment>
    <comment ref="C5" authorId="0" shapeId="0" xr:uid="{00000000-0006-0000-0000-000003000000}">
      <text>
        <r>
          <rPr>
            <b/>
            <sz val="10"/>
            <color indexed="12"/>
            <rFont val="細明體"/>
            <family val="3"/>
            <charset val="136"/>
          </rPr>
          <t>酷柏優氧日拋供應度數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G5" authorId="1" shapeId="0" xr:uid="{00000000-0006-0000-0000-000004000000}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登記同一人.贈送片以5片為單位
</t>
        </r>
      </text>
    </comment>
    <comment ref="C6" authorId="0" shapeId="0" xr:uid="{00000000-0006-0000-0000-000005000000}">
      <text>
        <r>
          <rPr>
            <b/>
            <sz val="10"/>
            <color indexed="12"/>
            <rFont val="細明體"/>
            <family val="3"/>
            <charset val="136"/>
          </rPr>
          <t>酷柏珂朗清日拋供應度數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含水量56% 弧度8.6 直徑14.1
</t>
        </r>
      </text>
    </comment>
    <comment ref="G6" authorId="1" shapeId="0" xr:uid="{00000000-0006-0000-0000-000006000000}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登記同一人.贈送片以5片為單位
</t>
        </r>
      </text>
    </comment>
    <comment ref="C7" authorId="0" shapeId="0" xr:uid="{00000000-0006-0000-0000-000007000000}">
      <text>
        <r>
          <rPr>
            <b/>
            <sz val="10"/>
            <color indexed="12"/>
            <rFont val="細明體"/>
            <family val="3"/>
            <charset val="136"/>
          </rPr>
          <t>酷柏美怡天日拋供應度數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含水量54% 弧度8.4 直徑14.2
</t>
        </r>
      </text>
    </comment>
    <comment ref="C8" authorId="0" shapeId="0" xr:uid="{00000000-0006-0000-0000-000008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9" authorId="0" shapeId="0" xr:uid="{00000000-0006-0000-0000-000009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10" authorId="0" shapeId="0" xr:uid="{00000000-0006-0000-0000-00000A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11" authorId="0" shapeId="0" xr:uid="{00000000-0006-0000-0000-00000B000000}">
      <text>
        <r>
          <rPr>
            <b/>
            <sz val="10"/>
            <color indexed="12"/>
            <rFont val="細明體"/>
            <family val="3"/>
            <charset val="136"/>
          </rPr>
          <t>酷柏奧克拉雙週拋供應度數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12" authorId="0" shapeId="0" xr:uid="{00000000-0006-0000-0000-00000C000000}">
      <text>
        <r>
          <rPr>
            <b/>
            <sz val="10"/>
            <color indexed="12"/>
            <rFont val="細明體"/>
            <family val="3"/>
            <charset val="136"/>
          </rPr>
          <t>酷柏佰視明月拋供應度數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含水量48% 弧度8.6 直徑14.0
</t>
        </r>
      </text>
    </comment>
    <comment ref="C13" authorId="0" shapeId="0" xr:uid="{00000000-0006-0000-0000-00000D000000}">
      <text>
        <r>
          <rPr>
            <b/>
            <sz val="10"/>
            <color indexed="12"/>
            <rFont val="細明體"/>
            <family val="3"/>
            <charset val="136"/>
          </rPr>
          <t>酷柏佰視明月拋供應度數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含水量48% 弧度8.6 直徑14.0
</t>
        </r>
      </text>
    </comment>
    <comment ref="C14" authorId="0" shapeId="0" xr:uid="{00000000-0006-0000-0000-00000E000000}">
      <text>
        <r>
          <rPr>
            <b/>
            <sz val="10"/>
            <color indexed="12"/>
            <rFont val="細明體"/>
            <family val="3"/>
            <charset val="136"/>
          </rPr>
          <t>酷柏優氧月拋供應度數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弧度8.4 直徑14.2
</t>
        </r>
      </text>
    </comment>
    <comment ref="C15" authorId="0" shapeId="0" xr:uid="{00000000-0006-0000-0000-00000F000000}">
      <text>
        <r>
          <rPr>
            <b/>
            <sz val="10"/>
            <color indexed="12"/>
            <rFont val="細明體"/>
            <family val="3"/>
            <charset val="136"/>
          </rPr>
          <t>酷柏優氧月拋供應度數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弧度8.4 直徑14.2
</t>
        </r>
      </text>
    </comment>
    <comment ref="G18" authorId="2" shapeId="0" xr:uid="{00000000-0006-0000-0000-000010000000}">
      <text>
        <r>
          <rPr>
            <b/>
            <sz val="11"/>
            <color indexed="10"/>
            <rFont val="新細明體"/>
            <family val="1"/>
            <charset val="136"/>
          </rPr>
          <t xml:space="preserve">贈送5片範圍 </t>
        </r>
        <r>
          <rPr>
            <b/>
            <sz val="9"/>
            <color indexed="39"/>
            <rFont val="新細明體"/>
            <family val="1"/>
            <charset val="136"/>
          </rPr>
          <t xml:space="preserve">
近視度:平光-1.00~-6.00(0.25一級)
散光度:0. 75, 1.25
供應軸度: 10, 20, 70, 80, 90, 100, 110, 120, 160, 170, 180
散光度1.75,2.25 供應軸度：10, 20, 80, 90, 100,110 160, 170, 180
近視度-6.50~-9.00(0.50一級)
散光度:0. 75, 1.25,1.75
供應軸度:10,20,60,70,80,90,100,110,160,170,180
散光度:2.25供應軸度：10,20,90,160,170,180
</t>
        </r>
      </text>
    </comment>
    <comment ref="C24" authorId="2" shapeId="0" xr:uid="{00000000-0006-0000-0000-000011000000}">
      <text>
        <r>
          <rPr>
            <sz val="9"/>
            <color indexed="81"/>
            <rFont val="細明體"/>
            <family val="3"/>
            <charset val="136"/>
          </rPr>
          <t>此產品-0.50一個規格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2" shapeId="0" xr:uid="{00000000-0006-0000-0000-000012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29" authorId="2" shapeId="0" xr:uid="{00000000-0006-0000-0000-000013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0" authorId="2" shapeId="0" xr:uid="{00000000-0006-0000-0000-000014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1" authorId="2" shapeId="0" xr:uid="{00000000-0006-0000-0000-000015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2" authorId="2" shapeId="0" xr:uid="{00000000-0006-0000-0000-000016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3" authorId="2" shapeId="0" xr:uid="{00000000-0006-0000-0000-000017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4" authorId="2" shapeId="0" xr:uid="{00000000-0006-0000-0000-000018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5" authorId="2" shapeId="0" xr:uid="{00000000-0006-0000-0000-000019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36" authorId="2" shapeId="0" xr:uid="{00000000-0006-0000-0000-00001A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G42" authorId="2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43" authorId="2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44" authorId="2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45" authorId="2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46" authorId="2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47" authorId="2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C50" authorId="2" shapeId="0" xr:uid="{00000000-0006-0000-0000-000021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著色直徑:13.0    含水量:55%  </t>
        </r>
      </text>
    </comment>
    <comment ref="C51" authorId="2" shapeId="0" xr:uid="{00000000-0006-0000-0000-000022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著色直徑:13.4    含水量:55%  </t>
        </r>
      </text>
    </comment>
    <comment ref="C52" authorId="2" shapeId="0" xr:uid="{00000000-0006-0000-0000-000023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著色直徑:13.2   含水量:55%  </t>
        </r>
      </text>
    </comment>
    <comment ref="G54" authorId="2" shapeId="0" xr:uid="{00000000-0006-0000-0000-000024000000}">
      <text>
        <r>
          <rPr>
            <sz val="9"/>
            <color indexed="81"/>
            <rFont val="細明體"/>
            <family val="3"/>
            <charset val="136"/>
          </rPr>
          <t>需同一人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最多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個度數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5" authorId="2" shapeId="0" xr:uid="{00000000-0006-0000-0000-000025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6" authorId="2" shapeId="0" xr:uid="{00000000-0006-0000-0000-000026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8" authorId="2" shapeId="0" xr:uid="{00000000-0006-0000-0000-000027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0" authorId="2" shapeId="0" xr:uid="{00000000-0006-0000-0000-000028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" authorId="2" shapeId="0" xr:uid="{00000000-0006-0000-0000-000029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2" authorId="2" shapeId="0" xr:uid="{00000000-0006-0000-0000-00002A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3" authorId="2" shapeId="0" xr:uid="{00000000-0006-0000-0000-00002B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4" authorId="2" shapeId="0" xr:uid="{00000000-0006-0000-0000-00002C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G64" authorId="2" shapeId="0" xr:uid="{00000000-0006-0000-0000-00002D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一盒拆空盒或拆條碼
</t>
        </r>
      </text>
    </comment>
    <comment ref="C65" authorId="2" shapeId="0" xr:uid="{00000000-0006-0000-0000-00002E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6" authorId="2" shapeId="0" xr:uid="{00000000-0006-0000-0000-00002F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7" authorId="2" shapeId="0" xr:uid="{00000000-0006-0000-0000-000030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8" authorId="2" shapeId="0" xr:uid="{00000000-0006-0000-0000-000031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69" authorId="2" shapeId="0" xr:uid="{00000000-0006-0000-0000-000032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0" authorId="2" shapeId="0" xr:uid="{00000000-0006-0000-0000-000033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1" authorId="2" shapeId="0" xr:uid="{00000000-0006-0000-0000-000034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2" authorId="2" shapeId="0" xr:uid="{00000000-0006-0000-0000-000035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3" authorId="2" shapeId="0" xr:uid="{00000000-0006-0000-0000-000036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4" authorId="2" shapeId="0" xr:uid="{00000000-0006-0000-0000-000037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5" authorId="2" shapeId="0" xr:uid="{00000000-0006-0000-0000-000038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6" authorId="2" shapeId="0" xr:uid="{00000000-0006-0000-0000-000039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7" authorId="2" shapeId="0" xr:uid="{00000000-0006-0000-0000-00003A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8" authorId="2" shapeId="0" xr:uid="{00000000-0006-0000-0000-00003B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79" authorId="2" shapeId="0" xr:uid="{00000000-0006-0000-0000-00003C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0" authorId="2" shapeId="0" xr:uid="{00000000-0006-0000-0000-00003D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1" authorId="2" shapeId="0" xr:uid="{00000000-0006-0000-0000-00003E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2" authorId="2" shapeId="0" xr:uid="{00000000-0006-0000-0000-00003F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3" authorId="2" shapeId="0" xr:uid="{00000000-0006-0000-0000-000040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4" authorId="2" shapeId="0" xr:uid="{00000000-0006-0000-0000-000041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5" authorId="2" shapeId="0" xr:uid="{00000000-0006-0000-0000-000042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6" authorId="2" shapeId="0" xr:uid="{00000000-0006-0000-0000-000043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7" authorId="2" shapeId="0" xr:uid="{00000000-0006-0000-0000-000044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88" authorId="2" shapeId="0" xr:uid="{00000000-0006-0000-0000-000045000000}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G89" authorId="2" shapeId="0" xr:uid="{00000000-0006-0000-0000-000046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0" authorId="2" shapeId="0" xr:uid="{00000000-0006-0000-0000-000047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1" authorId="2" shapeId="0" xr:uid="{00000000-0006-0000-0000-000048000000}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2" shapeId="0" xr:uid="{00000000-0006-0000-0000-000049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99" authorId="2" shapeId="0" xr:uid="{00000000-0006-0000-0000-00004A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00" authorId="2" shapeId="0" xr:uid="{00000000-0006-0000-0000-00004B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01" authorId="2" shapeId="0" xr:uid="{00000000-0006-0000-0000-00004C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02" authorId="2" shapeId="0" xr:uid="{00000000-0006-0000-0000-00004D000000}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C109" authorId="2" shapeId="0" xr:uid="{00000000-0006-0000-0000-00004E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0" authorId="2" shapeId="0" xr:uid="{00000000-0006-0000-0000-00004F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1" authorId="2" shapeId="0" xr:uid="{00000000-0006-0000-0000-000050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2" authorId="2" shapeId="0" xr:uid="{00000000-0006-0000-0000-000051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3" authorId="2" shapeId="0" xr:uid="{00000000-0006-0000-0000-000052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4" authorId="2" shapeId="0" xr:uid="{00000000-0006-0000-0000-000053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5" authorId="2" shapeId="0" xr:uid="{00000000-0006-0000-0000-000054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6" authorId="2" shapeId="0" xr:uid="{00000000-0006-0000-0000-000055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7" authorId="2" shapeId="0" xr:uid="{00000000-0006-0000-0000-000056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8" authorId="2" shapeId="0" xr:uid="{00000000-0006-0000-0000-000057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19" authorId="2" shapeId="0" xr:uid="{00000000-0006-0000-0000-000058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0" authorId="2" shapeId="0" xr:uid="{00000000-0006-0000-0000-000059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1" authorId="2" shapeId="0" xr:uid="{00000000-0006-0000-0000-00005A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2" authorId="2" shapeId="0" xr:uid="{00000000-0006-0000-0000-00005B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3" authorId="2" shapeId="0" xr:uid="{00000000-0006-0000-0000-00005C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4" authorId="2" shapeId="0" xr:uid="{00000000-0006-0000-0000-00005D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5" authorId="2" shapeId="0" xr:uid="{00000000-0006-0000-0000-00005E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6" authorId="2" shapeId="0" xr:uid="{00000000-0006-0000-0000-00005F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7" authorId="2" shapeId="0" xr:uid="{00000000-0006-0000-0000-000060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129" authorId="0" shapeId="0" xr:uid="{00000000-0006-0000-0000-000061000000}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-6.00~-9.00(0.50一規格)
-10.00~-12.00(1.00依規格)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弧度8.7 直徑14.2
</t>
        </r>
      </text>
    </comment>
    <comment ref="C130" authorId="0" shapeId="0" xr:uid="{00000000-0006-0000-0000-000062000000}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-6.00~-10.00(0.50一規格)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透氧值DK/t:80.3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含水量60% 弧度8.7 直徑14.2
</t>
        </r>
      </text>
    </comment>
    <comment ref="C131" authorId="0" shapeId="0" xr:uid="{00000000-0006-0000-0000-000063000000}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-6.00~-9.00(0.50一規格)
-10.00~-12.00(1.00依規格)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弧度8.7 直徑14.2
</t>
        </r>
      </text>
    </comment>
    <comment ref="C132" authorId="0" shapeId="0" xr:uid="{00000000-0006-0000-0000-000064000000}">
      <text>
        <r>
          <rPr>
            <b/>
            <sz val="10"/>
            <color indexed="39"/>
            <rFont val="新細明體"/>
            <family val="1"/>
            <charset val="136"/>
          </rPr>
          <t>安視優超涵水日拋供應度數規格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+0.50~+6.00(0.25一規格)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弧度:8.5&amp;9.0  Dk/t :33</t>
        </r>
      </text>
    </comment>
    <comment ref="C133" authorId="0" shapeId="0" xr:uid="{00000000-0006-0000-0000-000065000000}">
      <text>
        <r>
          <rPr>
            <b/>
            <sz val="10"/>
            <color indexed="39"/>
            <rFont val="新細明體"/>
            <family val="1"/>
            <charset val="136"/>
          </rPr>
          <t>安視優超涵水日拋供應度數規格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+0.50~+6.00(0.25一規格)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弧度:8.5&amp;9.0  Dk/t :33</t>
        </r>
      </text>
    </comment>
    <comment ref="C134" authorId="0" shapeId="0" xr:uid="{00000000-0006-0000-0000-000066000000}">
      <text>
        <r>
          <rPr>
            <b/>
            <sz val="10"/>
            <color indexed="39"/>
            <rFont val="新細明體"/>
            <family val="1"/>
            <charset val="136"/>
          </rPr>
          <t>安視優歐舒適日拋供應度數規格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35" authorId="0" shapeId="0" xr:uid="{00000000-0006-0000-0000-000067000000}">
      <text>
        <r>
          <rPr>
            <b/>
            <sz val="10"/>
            <color indexed="39"/>
            <rFont val="新細明體"/>
            <family val="1"/>
            <charset val="136"/>
          </rPr>
          <t>安視優歐舒適日拋供應度數規格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36" authorId="0" shapeId="0" xr:uid="{00000000-0006-0000-0000-000068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37" authorId="0" shapeId="0" xr:uid="{00000000-0006-0000-0000-000069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38" authorId="0" shapeId="0" xr:uid="{00000000-0006-0000-0000-00006A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39" authorId="0" shapeId="0" xr:uid="{00000000-0006-0000-0000-00006B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0" authorId="0" shapeId="0" xr:uid="{00000000-0006-0000-0000-00006C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1" authorId="0" shapeId="0" xr:uid="{00000000-0006-0000-0000-00006D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2" authorId="0" shapeId="0" xr:uid="{00000000-0006-0000-0000-00006E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3" authorId="0" shapeId="0" xr:uid="{00000000-0006-0000-0000-00006F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4" authorId="0" shapeId="0" xr:uid="{00000000-0006-0000-0000-000070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5" authorId="0" shapeId="0" xr:uid="{00000000-0006-0000-0000-000071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6" authorId="0" shapeId="0" xr:uid="{00000000-0006-0000-0000-000072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7" authorId="0" shapeId="0" xr:uid="{00000000-0006-0000-0000-000073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8" authorId="0" shapeId="0" xr:uid="{00000000-0006-0000-0000-000074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49" authorId="0" shapeId="0" xr:uid="{00000000-0006-0000-0000-000075000000}">
      <text>
        <r>
          <rPr>
            <b/>
            <sz val="10"/>
            <color indexed="12"/>
            <rFont val="細明體"/>
            <family val="3"/>
            <charset val="136"/>
          </rPr>
          <t>安視優雙週拋供應度數規格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-6.00~12.00(0.50一規格)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直徑:14.0  弧度:8.3&amp;8.7  Dk/t:33</t>
        </r>
      </text>
    </comment>
    <comment ref="C150" authorId="0" shapeId="0" xr:uid="{00000000-0006-0000-0000-000076000000}">
      <text>
        <r>
          <rPr>
            <b/>
            <sz val="10"/>
            <color indexed="12"/>
            <rFont val="細明體"/>
            <family val="3"/>
            <charset val="136"/>
          </rPr>
          <t>安視優歐舒適雙週拋供應度數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-0.50~-6.00(0.25一規格)
-6.00~12.00(0.50一規格)
含水量:38% 直徑:14.0  
弧度:8.4&amp;8.8  Dk/t:147</t>
        </r>
      </text>
    </comment>
    <comment ref="C151" authorId="0" shapeId="0" xr:uid="{00000000-0006-0000-0000-000077000000}">
      <text>
        <r>
          <rPr>
            <b/>
            <sz val="10"/>
            <color indexed="12"/>
            <rFont val="細明體"/>
            <family val="3"/>
            <charset val="136"/>
          </rPr>
          <t>安視優歐舒適雙週拋供應度數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-0.50~-6.00(0.25一規格)
-6.00~12.00(0.50一規格)
含水量:38% 直徑:14.0  
弧度:8.4&amp;8.8  Dk/t:147</t>
        </r>
      </text>
    </comment>
    <comment ref="C152" authorId="0" shapeId="0" xr:uid="{00000000-0006-0000-0000-000078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153" authorId="0" shapeId="0" xr:uid="{00000000-0006-0000-0000-000079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154" authorId="0" shapeId="0" xr:uid="{00000000-0006-0000-0000-00007A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155" authorId="0" shapeId="0" xr:uid="{00000000-0006-0000-0000-00007B000000}">
      <text>
        <r>
          <rPr>
            <b/>
            <sz val="10"/>
            <color indexed="17"/>
            <rFont val="細明體"/>
            <family val="3"/>
            <charset val="136"/>
          </rPr>
          <t>安視優歐舒適散光雙週拋</t>
        </r>
        <r>
          <rPr>
            <b/>
            <sz val="10"/>
            <color indexed="12"/>
            <rFont val="細明體"/>
            <family val="3"/>
            <charset val="136"/>
          </rPr>
          <t xml:space="preserve">供應度數:
</t>
        </r>
        <r>
          <rPr>
            <b/>
            <sz val="10"/>
            <color indexed="16"/>
            <rFont val="細明體"/>
            <family val="3"/>
            <charset val="136"/>
          </rPr>
          <t>0.00度 -0.50~-6.00(0.25一規格)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供應散光度 </t>
        </r>
        <r>
          <rPr>
            <b/>
            <sz val="10"/>
            <color indexed="60"/>
            <rFont val="細明體"/>
            <family val="3"/>
            <charset val="136"/>
          </rPr>
          <t>-0.75 -1.25 -1.75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供應軸度:</t>
        </r>
        <r>
          <rPr>
            <b/>
            <sz val="10"/>
            <color indexed="16"/>
            <rFont val="細明體"/>
            <family val="3"/>
            <charset val="136"/>
          </rPr>
          <t>10,20,30,40,50,60,70,80,90,100,110,
         120,130,140,150,160,170,180</t>
        </r>
        <r>
          <rPr>
            <b/>
            <sz val="10"/>
            <color indexed="12"/>
            <rFont val="細明體"/>
            <family val="3"/>
            <charset val="136"/>
          </rPr>
          <t xml:space="preserve">
散光</t>
        </r>
        <r>
          <rPr>
            <b/>
            <sz val="10"/>
            <color indexed="16"/>
            <rFont val="細明體"/>
            <family val="3"/>
            <charset val="136"/>
          </rPr>
          <t>225</t>
        </r>
        <r>
          <rPr>
            <b/>
            <sz val="10"/>
            <color indexed="12"/>
            <rFont val="細明體"/>
            <family val="3"/>
            <charset val="136"/>
          </rPr>
          <t>供應軸度:</t>
        </r>
        <r>
          <rPr>
            <b/>
            <sz val="10"/>
            <color indexed="14"/>
            <rFont val="細明體"/>
            <family val="3"/>
            <charset val="136"/>
          </rPr>
          <t xml:space="preserve">10,20,70,80,90,100,110,160,170,180
</t>
        </r>
        <r>
          <rPr>
            <b/>
            <sz val="10"/>
            <color indexed="16"/>
            <rFont val="細明體"/>
            <family val="3"/>
            <charset val="136"/>
          </rPr>
          <t>近視-6.50~-9.00 (50度一級)
散光度 -0.75 -1.25
供應軸度 10,20,30,40,50,60,70.80.90,100.110.
         120,130,140,150,160,170,180</t>
        </r>
        <r>
          <rPr>
            <b/>
            <sz val="10"/>
            <color indexed="14"/>
            <rFont val="細明體"/>
            <family val="3"/>
            <charset val="136"/>
          </rPr>
          <t xml:space="preserve">
散光-1.75 -2.25供應軸度 10,20,160,170,180
</t>
        </r>
        <r>
          <rPr>
            <b/>
            <sz val="10"/>
            <color indexed="12"/>
            <rFont val="細明體"/>
            <family val="3"/>
            <charset val="136"/>
          </rPr>
          <t>含水量:38%  直徑:14.5  弧度:8.6  Dk/t:129</t>
        </r>
      </text>
    </comment>
    <comment ref="C156" authorId="0" shapeId="0" xr:uid="{00000000-0006-0000-0000-00007C000000}">
      <text>
        <r>
          <rPr>
            <b/>
            <sz val="10"/>
            <color indexed="12"/>
            <rFont val="細明體"/>
            <family val="3"/>
            <charset val="136"/>
          </rPr>
          <t>安視優超涵水散光日拋供應度數:</t>
        </r>
        <r>
          <rPr>
            <b/>
            <sz val="10"/>
            <color indexed="16"/>
            <rFont val="細明體"/>
            <family val="3"/>
            <charset val="136"/>
          </rPr>
          <t xml:space="preserve"> 0.00度</t>
        </r>
        <r>
          <rPr>
            <b/>
            <sz val="9"/>
            <color indexed="16"/>
            <rFont val="細明體"/>
            <family val="3"/>
            <charset val="136"/>
          </rPr>
          <t xml:space="preserve">
-0.50~-6.00(0.25一規格)
-6.00~-9.00(0.50一規格) </t>
        </r>
        <r>
          <rPr>
            <b/>
            <sz val="9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供應散光度</t>
        </r>
        <r>
          <rPr>
            <b/>
            <sz val="9"/>
            <color indexed="16"/>
            <rFont val="細明體"/>
            <family val="3"/>
            <charset val="136"/>
          </rPr>
          <t xml:space="preserve"> -0.75  -1.25  -1.75</t>
        </r>
        <r>
          <rPr>
            <b/>
            <sz val="12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供應軸度</t>
        </r>
        <r>
          <rPr>
            <b/>
            <sz val="9"/>
            <color indexed="16"/>
            <rFont val="細明體"/>
            <family val="3"/>
            <charset val="136"/>
          </rPr>
          <t xml:space="preserve">10,20,70,80,90,100,110,160,170,180
</t>
        </r>
        <r>
          <rPr>
            <b/>
            <sz val="9"/>
            <color indexed="12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散光</t>
        </r>
        <r>
          <rPr>
            <b/>
            <sz val="9"/>
            <color indexed="16"/>
            <rFont val="細明體"/>
            <family val="3"/>
            <charset val="136"/>
          </rPr>
          <t>2.25</t>
        </r>
        <r>
          <rPr>
            <b/>
            <sz val="9"/>
            <color indexed="18"/>
            <rFont val="細明體"/>
            <family val="3"/>
            <charset val="136"/>
          </rPr>
          <t>供應軸度:</t>
        </r>
        <r>
          <rPr>
            <b/>
            <sz val="9"/>
            <color indexed="16"/>
            <rFont val="細明體"/>
            <family val="3"/>
            <charset val="136"/>
          </rPr>
          <t>10,20,90,160,170,180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  </t>
        </r>
        <r>
          <rPr>
            <b/>
            <sz val="10"/>
            <color indexed="10"/>
            <rFont val="細明體"/>
            <family val="3"/>
            <charset val="136"/>
          </rPr>
          <t xml:space="preserve">近視6.50(含)以上散光2.25 停產不供應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直徑:14.5  弧度:8.5  Dk/t:31</t>
        </r>
      </text>
    </comment>
    <comment ref="C157" authorId="0" shapeId="0" xr:uid="{00000000-0006-0000-0000-00007D000000}">
      <text>
        <r>
          <rPr>
            <b/>
            <sz val="10"/>
            <color indexed="12"/>
            <rFont val="細明體"/>
            <family val="3"/>
            <charset val="136"/>
          </rPr>
          <t>安視優歐舒適散光日拋供應度數:</t>
        </r>
        <r>
          <rPr>
            <b/>
            <sz val="10"/>
            <color indexed="16"/>
            <rFont val="細明體"/>
            <family val="3"/>
            <charset val="136"/>
          </rPr>
          <t xml:space="preserve"> 0.00度</t>
        </r>
        <r>
          <rPr>
            <b/>
            <sz val="9"/>
            <color indexed="16"/>
            <rFont val="細明體"/>
            <family val="3"/>
            <charset val="136"/>
          </rPr>
          <t xml:space="preserve">
-0.50~-6.00(0.25一規格)
-6.00~-9.00(0.50一規格)
</t>
        </r>
        <r>
          <rPr>
            <b/>
            <sz val="9"/>
            <color indexed="18"/>
            <rFont val="細明體"/>
            <family val="3"/>
            <charset val="136"/>
          </rPr>
          <t>供應散光度</t>
        </r>
        <r>
          <rPr>
            <b/>
            <sz val="9"/>
            <color indexed="16"/>
            <rFont val="細明體"/>
            <family val="3"/>
            <charset val="136"/>
          </rPr>
          <t xml:space="preserve"> -0.75  -1.25  -1.75</t>
        </r>
        <r>
          <rPr>
            <b/>
            <sz val="12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供應軸度</t>
        </r>
        <r>
          <rPr>
            <b/>
            <sz val="9"/>
            <color indexed="16"/>
            <rFont val="細明體"/>
            <family val="3"/>
            <charset val="136"/>
          </rPr>
          <t>10,20,70,80,90,100,110,
        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散光</t>
        </r>
        <r>
          <rPr>
            <b/>
            <sz val="9"/>
            <color indexed="16"/>
            <rFont val="細明體"/>
            <family val="3"/>
            <charset val="136"/>
          </rPr>
          <t>2.25</t>
        </r>
        <r>
          <rPr>
            <b/>
            <sz val="9"/>
            <color indexed="18"/>
            <rFont val="細明體"/>
            <family val="3"/>
            <charset val="136"/>
          </rPr>
          <t>供應軸度:</t>
        </r>
        <r>
          <rPr>
            <b/>
            <sz val="9"/>
            <color indexed="16"/>
            <rFont val="細明體"/>
            <family val="3"/>
            <charset val="136"/>
          </rPr>
          <t>10,20,90,160,170,180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  </t>
        </r>
        <r>
          <rPr>
            <b/>
            <sz val="10"/>
            <color indexed="10"/>
            <rFont val="細明體"/>
            <family val="3"/>
            <charset val="136"/>
          </rPr>
          <t xml:space="preserve">近視6.50以上散光2.25 停產不供應
</t>
        </r>
        <r>
          <rPr>
            <b/>
            <sz val="10"/>
            <color indexed="12"/>
            <rFont val="細明體"/>
            <family val="3"/>
            <charset val="136"/>
          </rPr>
          <t xml:space="preserve">
含水量:38%  直徑:14.3  弧度:8.5  Dk/t:129</t>
        </r>
      </text>
    </comment>
    <comment ref="C158" authorId="0" shapeId="0" xr:uid="{00000000-0006-0000-0000-00007E000000}">
      <text>
        <r>
          <rPr>
            <b/>
            <sz val="10"/>
            <color indexed="12"/>
            <rFont val="細明體"/>
            <family val="3"/>
            <charset val="136"/>
          </rPr>
          <t>安視優悅氧月拋供應度數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-6.00~12.00(0.50一規格)
</t>
        </r>
        <r>
          <rPr>
            <b/>
            <sz val="10"/>
            <color indexed="12"/>
            <rFont val="細明體"/>
            <family val="3"/>
            <charset val="136"/>
          </rPr>
          <t xml:space="preserve">
含水量:41% 直徑:14.0  弧度:8.8  Dk/t:147</t>
        </r>
      </text>
    </comment>
    <comment ref="C159" authorId="0" shapeId="0" xr:uid="{00000000-0006-0000-0000-00007F000000}">
      <text>
        <r>
          <rPr>
            <b/>
            <sz val="10"/>
            <color indexed="17"/>
            <rFont val="細明體"/>
            <family val="3"/>
            <charset val="136"/>
          </rPr>
          <t>安視優悅氧散光月拋</t>
        </r>
        <r>
          <rPr>
            <b/>
            <sz val="10"/>
            <color indexed="12"/>
            <rFont val="細明體"/>
            <family val="3"/>
            <charset val="136"/>
          </rPr>
          <t xml:space="preserve">供應度數:
</t>
        </r>
        <r>
          <rPr>
            <b/>
            <sz val="10"/>
            <color indexed="16"/>
            <rFont val="細明體"/>
            <family val="3"/>
            <charset val="136"/>
          </rPr>
          <t>0.00度 -0.50~-6.00(0.25一規格)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供應散光度 </t>
        </r>
        <r>
          <rPr>
            <b/>
            <sz val="10"/>
            <color indexed="60"/>
            <rFont val="細明體"/>
            <family val="3"/>
            <charset val="136"/>
          </rPr>
          <t>-0.75 -1.25 -1.75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供應軸度:</t>
        </r>
        <r>
          <rPr>
            <b/>
            <sz val="10"/>
            <color indexed="16"/>
            <rFont val="細明體"/>
            <family val="3"/>
            <charset val="136"/>
          </rPr>
          <t>10,20,30,40,50,60,70,80,90,100,110,
         120,130,140,150,160,170,180</t>
        </r>
        <r>
          <rPr>
            <b/>
            <sz val="10"/>
            <color indexed="12"/>
            <rFont val="細明體"/>
            <family val="3"/>
            <charset val="136"/>
          </rPr>
          <t xml:space="preserve">
散光</t>
        </r>
        <r>
          <rPr>
            <b/>
            <sz val="10"/>
            <color indexed="16"/>
            <rFont val="細明體"/>
            <family val="3"/>
            <charset val="136"/>
          </rPr>
          <t>225</t>
        </r>
        <r>
          <rPr>
            <b/>
            <sz val="10"/>
            <color indexed="12"/>
            <rFont val="細明體"/>
            <family val="3"/>
            <charset val="136"/>
          </rPr>
          <t>供應軸度:</t>
        </r>
        <r>
          <rPr>
            <b/>
            <sz val="10"/>
            <color indexed="14"/>
            <rFont val="細明體"/>
            <family val="3"/>
            <charset val="136"/>
          </rPr>
          <t xml:space="preserve">10,20,70,80,90,100,110,160,170,180
</t>
        </r>
        <r>
          <rPr>
            <b/>
            <sz val="10"/>
            <color indexed="16"/>
            <rFont val="細明體"/>
            <family val="3"/>
            <charset val="136"/>
          </rPr>
          <t xml:space="preserve">近視-6.50~-9.00 (50度一級)
散光度 -0.75 -1.25 -1.75
供應軸度 10,20,70.80.90,100.110.160,170,180
</t>
        </r>
        <r>
          <rPr>
            <b/>
            <sz val="10"/>
            <color indexed="14"/>
            <rFont val="細明體"/>
            <family val="3"/>
            <charset val="136"/>
          </rPr>
          <t xml:space="preserve">
       </t>
        </r>
        <r>
          <rPr>
            <b/>
            <sz val="10"/>
            <color indexed="10"/>
            <rFont val="細明體"/>
            <family val="3"/>
            <charset val="136"/>
          </rPr>
          <t>-6.50以上散光-2.25停止供應</t>
        </r>
        <r>
          <rPr>
            <b/>
            <sz val="10"/>
            <color indexed="14"/>
            <rFont val="細明體"/>
            <family val="3"/>
            <charset val="136"/>
          </rPr>
          <t xml:space="preserve">
</t>
        </r>
        <r>
          <rPr>
            <b/>
            <sz val="10"/>
            <color indexed="12"/>
            <rFont val="細明體"/>
            <family val="3"/>
            <charset val="136"/>
          </rPr>
          <t>含水量:41%  直徑:14.5  弧度:8.6  Dk/t:129</t>
        </r>
      </text>
    </comment>
    <comment ref="C160" authorId="0" shapeId="0" xr:uid="{00000000-0006-0000-0000-000080000000}">
      <text>
        <r>
          <rPr>
            <b/>
            <sz val="10"/>
            <color indexed="39"/>
            <rFont val="新細明體"/>
            <family val="1"/>
            <charset val="136"/>
          </rPr>
          <t>安視優歐舒適極潤日拋供應度數規格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61" authorId="0" shapeId="0" xr:uid="{00000000-0006-0000-0000-000081000000}">
      <text>
        <r>
          <rPr>
            <b/>
            <sz val="10"/>
            <color indexed="39"/>
            <rFont val="新細明體"/>
            <family val="1"/>
            <charset val="136"/>
          </rPr>
          <t>安視優歐舒適極潤日拋供應度數規格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62" authorId="0" shapeId="0" xr:uid="{00000000-0006-0000-0000-000082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163" authorId="0" shapeId="0" xr:uid="{00000000-0006-0000-0000-000083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164" authorId="0" shapeId="0" xr:uid="{00000000-0006-0000-0000-000084000000}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166" authorId="0" shapeId="0" xr:uid="{00000000-0006-0000-0000-000085000000}">
      <text>
        <r>
          <rPr>
            <b/>
            <sz val="10"/>
            <color indexed="12"/>
            <rFont val="細明體"/>
            <family val="3"/>
            <charset val="136"/>
          </rPr>
          <t>實瞳京櫻日拋供應度數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-1.00~-6.00(0.25一規格)
-6.50~16.00(0.50一規格)
+1.00~+5.50(0.25一規格)
+5.50~+8.00(0.50依規格)
</t>
        </r>
        <r>
          <rPr>
            <b/>
            <sz val="10"/>
            <color indexed="12"/>
            <rFont val="細明體"/>
            <family val="3"/>
            <charset val="136"/>
          </rPr>
          <t>直徑:14.2 弧度:8.80 含水量:58%</t>
        </r>
      </text>
    </comment>
    <comment ref="C167" authorId="0" shapeId="0" xr:uid="{00000000-0006-0000-0000-000086000000}">
      <text>
        <r>
          <rPr>
            <b/>
            <sz val="10"/>
            <color indexed="12"/>
            <rFont val="細明體"/>
            <family val="3"/>
            <charset val="136"/>
          </rPr>
          <t>實瞳京櫻散光日拋供應度數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-1.00~-6.00(0.25一規格)
-6.50~10.00(0.50一規格)
散光度:-0.75  -1.25  -1.75 
散光軸度:10 20 90 160 170 180
</t>
        </r>
        <r>
          <rPr>
            <b/>
            <sz val="10"/>
            <color indexed="14"/>
            <rFont val="細明體"/>
            <family val="3"/>
            <charset val="136"/>
          </rPr>
          <t xml:space="preserve">散光度-2.25(限軸度180度)
</t>
        </r>
        <r>
          <rPr>
            <b/>
            <sz val="10"/>
            <color indexed="10"/>
            <rFont val="細明體"/>
            <family val="3"/>
            <charset val="136"/>
          </rPr>
          <t xml:space="preserve">
直徑:14.2 弧度:8.80 含水量:58%</t>
        </r>
      </text>
    </comment>
    <comment ref="C168" authorId="0" shapeId="0" xr:uid="{00000000-0006-0000-0000-000087000000}">
      <text>
        <r>
          <rPr>
            <b/>
            <sz val="10"/>
            <color indexed="12"/>
            <rFont val="細明體"/>
            <family val="3"/>
            <charset val="136"/>
          </rPr>
          <t>實瞳京櫻雙焦點日拋供應度數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ADD: Type A (+0.75~+1.50)
ADD: Type B (+1.50~+2.75)
直徑:14.2 弧度:8.80 含水量:58%</t>
        </r>
      </text>
    </comment>
    <comment ref="C169" authorId="0" shapeId="0" xr:uid="{00000000-0006-0000-0000-000088000000}">
      <text>
        <r>
          <rPr>
            <b/>
            <sz val="10"/>
            <color indexed="12"/>
            <rFont val="細明體"/>
            <family val="3"/>
            <charset val="136"/>
          </rPr>
          <t>實瞳京櫻雙焦點日拋供應度數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ADD: Type A (+0.75~+1.50)
ADD: Type B (+1.50~+2.75)
直徑:14.2 弧度:8.80 含水量:58%</t>
        </r>
      </text>
    </comment>
    <comment ref="C170" authorId="0" shapeId="0" xr:uid="{00000000-0006-0000-0000-000089000000}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171" authorId="0" shapeId="0" xr:uid="{00000000-0006-0000-0000-00008A000000}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172" authorId="0" shapeId="0" xr:uid="{00000000-0006-0000-0000-00008B000000}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173" authorId="0" shapeId="0" xr:uid="{00000000-0006-0000-0000-00008C000000}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褐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著色直徑:12.8MM</t>
        </r>
      </text>
    </comment>
    <comment ref="C174" authorId="0" shapeId="0" xr:uid="{00000000-0006-0000-0000-00008D000000}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黑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著色直徑:13MM</t>
        </r>
      </text>
    </comment>
    <comment ref="C175" authorId="0" shapeId="0" xr:uid="{00000000-0006-0000-0000-00008E000000}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棕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著色直徑:13.2MM</t>
        </r>
      </text>
    </comment>
    <comment ref="C177" authorId="2" shapeId="0" xr:uid="{00000000-0006-0000-0000-00008F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:8.6</t>
        </r>
      </text>
    </comment>
    <comment ref="E177" authorId="2" shapeId="0" xr:uid="{00000000-0006-0000-0000-000090000000}">
      <text>
        <r>
          <rPr>
            <b/>
            <sz val="10"/>
            <color indexed="10"/>
            <rFont val="細明體"/>
            <family val="3"/>
            <charset val="136"/>
          </rPr>
          <t>一般特價299元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8" authorId="2" shapeId="0" xr:uid="{00000000-0006-0000-0000-000091000000}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含水量:48%
基 弧 :8.5</t>
        </r>
      </text>
    </comment>
    <comment ref="C179" authorId="2" shapeId="0" xr:uid="{00000000-0006-0000-0000-000092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180" authorId="2" shapeId="0" xr:uid="{00000000-0006-0000-0000-000093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著色直徑:12.9</t>
        </r>
      </text>
    </comment>
    <comment ref="C181" authorId="2" shapeId="0" xr:uid="{00000000-0006-0000-0000-000094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著色直徑:13.3</t>
        </r>
      </text>
    </comment>
    <comment ref="C182" authorId="2" shapeId="0" xr:uid="{00000000-0006-0000-0000-000095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著色直徑:13.3</t>
        </r>
      </text>
    </comment>
    <comment ref="C183" authorId="2" shapeId="0" xr:uid="{00000000-0006-0000-0000-000096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184" authorId="2" shapeId="0" xr:uid="{00000000-0006-0000-0000-000097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185" authorId="2" shapeId="0" xr:uid="{00000000-0006-0000-0000-000098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186" authorId="2" shapeId="0" xr:uid="{00000000-0006-0000-0000-000099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187" authorId="2" shapeId="0" xr:uid="{00000000-0006-0000-0000-00009A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著色直徑:13.5</t>
        </r>
      </text>
    </comment>
    <comment ref="C188" authorId="2" shapeId="0" xr:uid="{00000000-0006-0000-0000-00009B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著色直徑:13.5</t>
        </r>
      </text>
    </comment>
    <comment ref="C189" authorId="2" shapeId="0" xr:uid="{00000000-0006-0000-0000-00009C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著色直徑:13.6</t>
        </r>
      </text>
    </comment>
    <comment ref="C190" authorId="2" shapeId="0" xr:uid="{00000000-0006-0000-0000-00009D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著色直徑:13.2</t>
        </r>
      </text>
    </comment>
    <comment ref="C191" authorId="2" shapeId="0" xr:uid="{00000000-0006-0000-0000-00009E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著色直徑:12.9</t>
        </r>
      </text>
    </comment>
    <comment ref="C192" authorId="2" shapeId="0" xr:uid="{00000000-0006-0000-0000-00009F000000}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含水量:38%
基 弧 :8.7
著色直徑:13.2</t>
        </r>
      </text>
    </comment>
    <comment ref="C193" authorId="2" shapeId="0" xr:uid="{00000000-0006-0000-0000-0000A0000000}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含水量:38%
基 弧 :8.7
著色直徑:12.8</t>
        </r>
      </text>
    </comment>
    <comment ref="C194" authorId="2" shapeId="0" xr:uid="{00000000-0006-0000-0000-0000A1000000}">
      <text>
        <r>
          <rPr>
            <b/>
            <sz val="10"/>
            <color indexed="81"/>
            <rFont val="新細明體"/>
            <family val="1"/>
            <charset val="136"/>
          </rPr>
          <t xml:space="preserve">鏡片直徑:14.1
含水量:38%
基 弧 :8.7
著色直徑:13.4
</t>
        </r>
      </text>
    </comment>
    <comment ref="C196" authorId="2" shapeId="0" xr:uid="{00000000-0006-0000-0000-0000A2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E196" authorId="2" shapeId="0" xr:uid="{00000000-0006-0000-0000-0000A3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7" authorId="2" shapeId="0" xr:uid="{00000000-0006-0000-0000-0000A4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E197" authorId="2" shapeId="0" xr:uid="{00000000-0006-0000-0000-0000A5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8" authorId="2" shapeId="0" xr:uid="{00000000-0006-0000-0000-0000A6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著色直徑:13.3</t>
        </r>
      </text>
    </comment>
    <comment ref="C199" authorId="2" shapeId="0" xr:uid="{00000000-0006-0000-0000-0000A7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著色直徑:13.3</t>
        </r>
      </text>
    </comment>
    <comment ref="C200" authorId="2" shapeId="0" xr:uid="{00000000-0006-0000-0000-0000A8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著色直徑:13.3</t>
        </r>
      </text>
    </comment>
    <comment ref="C201" authorId="2" shapeId="0" xr:uid="{00000000-0006-0000-0000-0000A9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著色直徑:13.0</t>
        </r>
      </text>
    </comment>
    <comment ref="C204" authorId="2" shapeId="0" xr:uid="{00000000-0006-0000-0000-0000AA000000}">
      <text>
        <r>
          <rPr>
            <b/>
            <sz val="10"/>
            <color indexed="81"/>
            <rFont val="新細明體"/>
            <family val="1"/>
            <charset val="136"/>
          </rPr>
          <t>鏡片直徑:14.3
含水量:55%
基 弧 :8.6
著色直徑:13.2</t>
        </r>
      </text>
    </comment>
    <comment ref="E204" authorId="2" shapeId="0" xr:uid="{00000000-0006-0000-0000-0000AB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5" authorId="2" shapeId="0" xr:uid="{00000000-0006-0000-0000-0000AC000000}">
      <text>
        <r>
          <rPr>
            <b/>
            <sz val="10"/>
            <color indexed="81"/>
            <rFont val="新細明體"/>
            <family val="1"/>
            <charset val="136"/>
          </rPr>
          <t>鏡片直徑:14.3
含水量:55%
基 弧 :8.6
著色直徑:13.2</t>
        </r>
      </text>
    </comment>
    <comment ref="E205" authorId="2" shapeId="0" xr:uid="{00000000-0006-0000-0000-0000AD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6" authorId="2" shapeId="0" xr:uid="{00000000-0006-0000-0000-0000AE000000}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含水量:58%
基 弧 :8.6
著色直徑:13.1</t>
        </r>
      </text>
    </comment>
    <comment ref="E206" authorId="2" shapeId="0" xr:uid="{00000000-0006-0000-0000-0000AF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7" authorId="2" shapeId="0" xr:uid="{00000000-0006-0000-0000-0000B0000000}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含水量:58%
基 弧 :8.6
著色直徑:13.1</t>
        </r>
      </text>
    </comment>
    <comment ref="E207" authorId="2" shapeId="0" xr:uid="{00000000-0006-0000-0000-0000B1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8" authorId="2" shapeId="0" xr:uid="{00000000-0006-0000-0000-0000B2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:8.5
著色直徑:12.7</t>
        </r>
      </text>
    </comment>
    <comment ref="E208" authorId="2" shapeId="0" xr:uid="{00000000-0006-0000-0000-0000B3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9" authorId="2" shapeId="0" xr:uid="{00000000-0006-0000-0000-0000B4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:8.5
著色直徑:12.7</t>
        </r>
      </text>
    </comment>
    <comment ref="E209" authorId="2" shapeId="0" xr:uid="{00000000-0006-0000-0000-0000B5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0" authorId="2" shapeId="0" xr:uid="{00000000-0006-0000-0000-0000B6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:8.5
著色直徑:12.7</t>
        </r>
      </text>
    </comment>
    <comment ref="E210" authorId="2" shapeId="0" xr:uid="{00000000-0006-0000-0000-0000B7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1" authorId="2" shapeId="0" xr:uid="{00000000-0006-0000-0000-0000B8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:8.5
著色直徑:12.7</t>
        </r>
      </text>
    </comment>
    <comment ref="E211" authorId="2" shapeId="0" xr:uid="{00000000-0006-0000-0000-0000B9000000}">
      <text>
        <r>
          <rPr>
            <b/>
            <sz val="10"/>
            <color indexed="10"/>
            <rFont val="細明體"/>
            <family val="3"/>
            <charset val="136"/>
          </rPr>
          <t>一般特價310元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2" authorId="2" shapeId="0" xr:uid="{00000000-0006-0000-0000-0000BA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著色直徑:13.4</t>
        </r>
      </text>
    </comment>
    <comment ref="E212" authorId="2" shapeId="0" xr:uid="{00000000-0006-0000-0000-0000BB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3" authorId="2" shapeId="0" xr:uid="{00000000-0006-0000-0000-0000BC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著色直徑:13.4</t>
        </r>
      </text>
    </comment>
    <comment ref="E213" authorId="2" shapeId="0" xr:uid="{00000000-0006-0000-0000-0000BD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4" authorId="2" shapeId="0" xr:uid="{00000000-0006-0000-0000-0000BE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著色直徑:13.4</t>
        </r>
      </text>
    </comment>
    <comment ref="E214" authorId="2" shapeId="0" xr:uid="{00000000-0006-0000-0000-0000BF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5" authorId="2" shapeId="0" xr:uid="{00000000-0006-0000-0000-0000C0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著色直徑:12.8</t>
        </r>
      </text>
    </comment>
    <comment ref="E215" authorId="2" shapeId="0" xr:uid="{00000000-0006-0000-0000-0000C1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6" authorId="2" shapeId="0" xr:uid="{00000000-0006-0000-0000-0000C2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著色直徑:12.8</t>
        </r>
      </text>
    </comment>
    <comment ref="E216" authorId="2" shapeId="0" xr:uid="{00000000-0006-0000-0000-0000C3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7" authorId="2" shapeId="0" xr:uid="{00000000-0006-0000-0000-0000C4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著色直徑:13.2</t>
        </r>
      </text>
    </comment>
    <comment ref="E217" authorId="2" shapeId="0" xr:uid="{00000000-0006-0000-0000-0000C5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8" authorId="2" shapeId="0" xr:uid="{00000000-0006-0000-0000-0000C6000000}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:8.6
著色直徑:13.0</t>
        </r>
      </text>
    </comment>
    <comment ref="E218" authorId="2" shapeId="0" xr:uid="{00000000-0006-0000-0000-0000C7000000}">
      <text>
        <r>
          <rPr>
            <b/>
            <sz val="10"/>
            <color indexed="10"/>
            <rFont val="細明體"/>
            <family val="3"/>
            <charset val="136"/>
          </rPr>
          <t>一般特價190元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1" authorId="0" shapeId="0" xr:uid="{00000000-0006-0000-0000-0000C8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02" authorId="0" shapeId="0" xr:uid="{00000000-0006-0000-0000-0000C9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03" authorId="0" shapeId="0" xr:uid="{00000000-0006-0000-0000-0000CA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04" authorId="0" shapeId="0" xr:uid="{00000000-0006-0000-0000-0000CB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05" authorId="0" shapeId="0" xr:uid="{00000000-0006-0000-0000-0000CC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2" authorId="0" shapeId="0" xr:uid="{00000000-0006-0000-0000-0000CD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3" authorId="0" shapeId="0" xr:uid="{00000000-0006-0000-0000-0000CE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4" authorId="0" shapeId="0" xr:uid="{00000000-0006-0000-0000-0000CF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5" authorId="0" shapeId="0" xr:uid="{00000000-0006-0000-0000-0000D0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6" authorId="0" shapeId="0" xr:uid="{00000000-0006-0000-0000-0000D1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7" authorId="0" shapeId="0" xr:uid="{00000000-0006-0000-0000-0000D2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8" authorId="0" shapeId="0" xr:uid="{00000000-0006-0000-0000-0000D3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19" authorId="0" shapeId="0" xr:uid="{00000000-0006-0000-0000-0000D4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20" authorId="0" shapeId="0" xr:uid="{00000000-0006-0000-0000-0000D5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21" authorId="0" shapeId="0" xr:uid="{00000000-0006-0000-0000-0000D6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22" authorId="0" shapeId="0" xr:uid="{00000000-0006-0000-0000-0000D7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23" authorId="0" shapeId="0" xr:uid="{00000000-0006-0000-0000-0000D8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24" authorId="0" shapeId="0" xr:uid="{00000000-0006-0000-0000-0000D9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25" authorId="0" shapeId="0" xr:uid="{00000000-0006-0000-0000-0000DA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26" authorId="0" shapeId="0" xr:uid="{00000000-0006-0000-0000-0000DB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27" authorId="0" shapeId="0" xr:uid="{00000000-0006-0000-0000-0000DC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28" authorId="0" shapeId="0" xr:uid="{00000000-0006-0000-0000-0000DD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29" authorId="0" shapeId="0" xr:uid="{00000000-0006-0000-0000-0000DE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330" authorId="0" shapeId="0" xr:uid="{00000000-0006-0000-0000-0000DF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1" authorId="0" shapeId="0" xr:uid="{00000000-0006-0000-0000-0000E0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2" authorId="0" shapeId="0" xr:uid="{00000000-0006-0000-0000-0000E1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3" authorId="0" shapeId="0" xr:uid="{00000000-0006-0000-0000-0000E2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4" authorId="0" shapeId="0" xr:uid="{00000000-0006-0000-0000-0000E3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5" authorId="0" shapeId="0" xr:uid="{00000000-0006-0000-0000-0000E4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6" authorId="0" shapeId="0" xr:uid="{00000000-0006-0000-0000-0000E5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37" authorId="0" shapeId="0" xr:uid="{00000000-0006-0000-0000-0000E600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355" authorId="2" shapeId="0" xr:uid="{00000000-0006-0000-0000-0000E7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56" authorId="2" shapeId="0" xr:uid="{00000000-0006-0000-0000-0000E8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57" authorId="2" shapeId="0" xr:uid="{00000000-0006-0000-0000-0000E9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58" authorId="2" shapeId="0" xr:uid="{00000000-0006-0000-0000-0000EA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59" authorId="2" shapeId="0" xr:uid="{00000000-0006-0000-0000-0000EB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60" authorId="2" shapeId="0" xr:uid="{00000000-0006-0000-0000-0000EC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61" authorId="2" shapeId="0" xr:uid="{00000000-0006-0000-0000-0000ED00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363" authorId="0" shapeId="0" xr:uid="{00000000-0006-0000-0000-0000EE000000}">
      <text>
        <r>
          <rPr>
            <b/>
            <sz val="10"/>
            <color indexed="12"/>
            <rFont val="細明體"/>
            <family val="3"/>
            <charset val="136"/>
          </rPr>
          <t>美若康舒活供應度數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364" authorId="0" shapeId="0" xr:uid="{00000000-0006-0000-0000-0000EF000000}">
      <text>
        <r>
          <rPr>
            <b/>
            <sz val="10"/>
            <color indexed="12"/>
            <rFont val="細明體"/>
            <family val="3"/>
            <charset val="136"/>
          </rPr>
          <t>美若康舒活供應度數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G364" authorId="2" shapeId="0" xr:uid="{00000000-0006-0000-0000-0000F0000000}">
      <text>
        <r>
          <rPr>
            <sz val="9"/>
            <color indexed="81"/>
            <rFont val="細明體"/>
            <family val="3"/>
            <charset val="136"/>
          </rPr>
          <t>贈品只能一個度數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細明體"/>
            <family val="3"/>
            <charset val="136"/>
          </rPr>
          <t>片.無法2個度數各15片.或其他度數組合30片</t>
        </r>
      </text>
    </comment>
    <comment ref="C366" authorId="0" shapeId="0" xr:uid="{00000000-0006-0000-0000-0000F1000000}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G366" authorId="2" shapeId="0" xr:uid="{00000000-0006-0000-0000-0000F2000000}">
      <text>
        <r>
          <rPr>
            <b/>
            <sz val="11"/>
            <color indexed="10"/>
            <rFont val="新細明體"/>
            <family val="1"/>
            <charset val="136"/>
          </rPr>
          <t>贈品只能一個度數20片.無法2個度數各10片.或其他度數組合20片</t>
        </r>
      </text>
    </comment>
    <comment ref="C368" authorId="0" shapeId="0" xr:uid="{00000000-0006-0000-0000-0000F3000000}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G368" authorId="2" shapeId="0" xr:uid="{00000000-0006-0000-0000-0000F4000000}">
      <text>
        <r>
          <rPr>
            <b/>
            <sz val="12"/>
            <color indexed="10"/>
            <rFont val="細明體"/>
            <family val="3"/>
            <charset val="136"/>
          </rPr>
          <t>一盒須拆空盒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9" authorId="0" shapeId="0" xr:uid="{00000000-0006-0000-0000-0000F5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0" authorId="0" shapeId="0" xr:uid="{00000000-0006-0000-0000-0000F6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1" authorId="0" shapeId="0" xr:uid="{00000000-0006-0000-0000-0000F7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2" authorId="0" shapeId="0" xr:uid="{00000000-0006-0000-0000-0000F8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3" authorId="0" shapeId="0" xr:uid="{00000000-0006-0000-0000-0000F9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4" authorId="0" shapeId="0" xr:uid="{00000000-0006-0000-0000-0000FA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5" authorId="0" shapeId="0" xr:uid="{00000000-0006-0000-0000-0000FB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79" authorId="0" shapeId="0" xr:uid="{00000000-0006-0000-0000-0000FC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80" authorId="0" shapeId="0" xr:uid="{00000000-0006-0000-0000-0000FD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81" authorId="0" shapeId="0" xr:uid="{00000000-0006-0000-0000-0000FE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382" authorId="0" shapeId="0" xr:uid="{00000000-0006-0000-0000-0000FF00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383" authorId="0" shapeId="0" xr:uid="{00000000-0006-0000-0000-000000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384" authorId="0" shapeId="0" xr:uid="{00000000-0006-0000-0000-000001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385" authorId="0" shapeId="0" xr:uid="{00000000-0006-0000-0000-000002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386" authorId="0" shapeId="0" xr:uid="{00000000-0006-0000-0000-000003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388" authorId="0" shapeId="0" xr:uid="{00000000-0006-0000-0000-000004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389" authorId="0" shapeId="0" xr:uid="{00000000-0006-0000-0000-000005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390" authorId="0" shapeId="0" xr:uid="{00000000-0006-0000-0000-000006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391" authorId="0" shapeId="0" xr:uid="{00000000-0006-0000-0000-000007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392" authorId="0" shapeId="0" xr:uid="{00000000-0006-0000-0000-000008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393" authorId="0" shapeId="0" xr:uid="{00000000-0006-0000-0000-000009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18" authorId="0" shapeId="0" xr:uid="{00000000-0006-0000-0000-00000A010000}">
      <text>
        <r>
          <rPr>
            <b/>
            <sz val="10"/>
            <color indexed="39"/>
            <rFont val="新細明體"/>
            <family val="1"/>
            <charset val="136"/>
          </rPr>
          <t>睛靈親水保濕日拋供應度數規格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-6.00~10.00(0.50一規格)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弧度8.6</t>
        </r>
      </text>
    </comment>
    <comment ref="C445" authorId="2" shapeId="0" xr:uid="{00000000-0006-0000-0000-00000B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46" authorId="2" shapeId="0" xr:uid="{00000000-0006-0000-0000-00000C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47" authorId="2" shapeId="0" xr:uid="{00000000-0006-0000-0000-00000D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48" authorId="2" shapeId="0" xr:uid="{00000000-0006-0000-0000-00000E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49" authorId="2" shapeId="0" xr:uid="{00000000-0006-0000-0000-00000F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0" authorId="2" shapeId="0" xr:uid="{00000000-0006-0000-0000-000010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1" authorId="2" shapeId="0" xr:uid="{00000000-0006-0000-0000-000011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2" authorId="2" shapeId="0" xr:uid="{00000000-0006-0000-0000-000012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3" authorId="2" shapeId="0" xr:uid="{00000000-0006-0000-0000-000013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4" authorId="2" shapeId="0" xr:uid="{00000000-0006-0000-0000-000014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55" authorId="2" shapeId="0" xr:uid="{00000000-0006-0000-0000-000015010000}">
      <text>
        <r>
          <rPr>
            <b/>
            <sz val="9"/>
            <color indexed="10"/>
            <rFont val="新細明體"/>
            <family val="1"/>
            <charset val="136"/>
          </rPr>
          <t>此商品原廠供應度數: 
 0 度150.200.250.300.350.
400.450.500.550.600.650.</t>
        </r>
      </text>
    </comment>
    <comment ref="C458" authorId="0" shapeId="0" xr:uid="{00000000-0006-0000-0000-000016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459" authorId="0" shapeId="0" xr:uid="{00000000-0006-0000-0000-000017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460" authorId="0" shapeId="0" xr:uid="{00000000-0006-0000-0000-000018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461" authorId="0" shapeId="0" xr:uid="{00000000-0006-0000-0000-000019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462" authorId="0" shapeId="0" xr:uid="{00000000-0006-0000-0000-00001A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463" authorId="0" shapeId="0" xr:uid="{00000000-0006-0000-0000-00001B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464" authorId="0" shapeId="0" xr:uid="{00000000-0006-0000-0000-00001C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465" authorId="0" shapeId="0" xr:uid="{00000000-0006-0000-0000-00001D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466" authorId="0" shapeId="0" xr:uid="{00000000-0006-0000-0000-00001E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467" authorId="0" shapeId="0" xr:uid="{00000000-0006-0000-0000-00001F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29" authorId="2" shapeId="0" xr:uid="{00000000-0006-0000-0000-000020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
-1.00~-6.00(0.25一規格)
-6.00~-10.00(0.50一規格)
無生產 -1.25&amp;-1.75</t>
        </r>
      </text>
    </comment>
    <comment ref="C530" authorId="2" shapeId="0" xr:uid="{00000000-0006-0000-0000-000021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
-1.00~-6.00(0.25一規格)
-6.00~-10.00(0.50一規格)
無生產 -1.25&amp;-1.75</t>
        </r>
      </text>
    </comment>
    <comment ref="C531" authorId="2" shapeId="0" xr:uid="{00000000-0006-0000-0000-000022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2" authorId="2" shapeId="0" xr:uid="{00000000-0006-0000-0000-000023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3" authorId="2" shapeId="0" xr:uid="{00000000-0006-0000-0000-000024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4" authorId="2" shapeId="0" xr:uid="{00000000-0006-0000-0000-000025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5" authorId="2" shapeId="0" xr:uid="{00000000-0006-0000-0000-000026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6" authorId="2" shapeId="0" xr:uid="{00000000-0006-0000-0000-000027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7" authorId="2" shapeId="0" xr:uid="{00000000-0006-0000-0000-000028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8" authorId="2" shapeId="0" xr:uid="{00000000-0006-0000-0000-000029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39" authorId="2" shapeId="0" xr:uid="{00000000-0006-0000-0000-00002A010000}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41" authorId="0" shapeId="0" xr:uid="{00000000-0006-0000-0000-00002B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含水量59%
</t>
        </r>
      </text>
    </comment>
    <comment ref="C542" authorId="0" shapeId="0" xr:uid="{00000000-0006-0000-0000-00002C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含水量55%
</t>
        </r>
      </text>
    </comment>
    <comment ref="C543" authorId="0" shapeId="0" xr:uid="{00000000-0006-0000-0000-00002D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含水量58%
著色直徑13.4
</t>
        </r>
      </text>
    </comment>
    <comment ref="C544" authorId="0" shapeId="0" xr:uid="{00000000-0006-0000-0000-00002E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含水量58%
著色直徑13.4
</t>
        </r>
      </text>
    </comment>
    <comment ref="C545" authorId="0" shapeId="0" xr:uid="{00000000-0006-0000-0000-00002F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546" authorId="0" shapeId="0" xr:uid="{00000000-0006-0000-0000-000030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547" authorId="0" shapeId="0" xr:uid="{00000000-0006-0000-0000-000031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548" authorId="0" shapeId="0" xr:uid="{00000000-0006-0000-0000-000032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549" authorId="0" shapeId="0" xr:uid="{00000000-0006-0000-0000-000033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550" authorId="0" shapeId="0" xr:uid="{00000000-0006-0000-0000-000034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551" authorId="0" shapeId="0" xr:uid="{00000000-0006-0000-0000-000035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552" authorId="0" shapeId="0" xr:uid="{00000000-0006-0000-0000-000036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553" authorId="0" shapeId="0" xr:uid="{00000000-0006-0000-0000-000037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554" authorId="0" shapeId="0" xr:uid="{00000000-0006-0000-0000-000038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555" authorId="0" shapeId="0" xr:uid="{00000000-0006-0000-0000-000039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556" authorId="0" shapeId="0" xr:uid="{00000000-0006-0000-0000-00003A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557" authorId="0" shapeId="0" xr:uid="{00000000-0006-0000-0000-00003B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559" authorId="0" shapeId="0" xr:uid="{00000000-0006-0000-0000-00003C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60" authorId="0" shapeId="0" xr:uid="{00000000-0006-0000-0000-00003D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61" authorId="0" shapeId="0" xr:uid="{00000000-0006-0000-0000-00003E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62" authorId="0" shapeId="0" xr:uid="{00000000-0006-0000-0000-00003F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63" authorId="0" shapeId="0" xr:uid="{00000000-0006-0000-0000-000040010000}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65" authorId="0" shapeId="0" xr:uid="{00000000-0006-0000-0000-000041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6" authorId="0" shapeId="0" xr:uid="{00000000-0006-0000-0000-000042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7" authorId="0" shapeId="0" xr:uid="{00000000-0006-0000-0000-000043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8" authorId="0" shapeId="0" xr:uid="{00000000-0006-0000-0000-000044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9" authorId="0" shapeId="0" xr:uid="{00000000-0006-0000-0000-000045010000}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I593" authorId="3" shapeId="0" xr:uid="{00000000-0006-0000-0000-000046010000}">
      <text>
        <r>
          <rPr>
            <b/>
            <sz val="18"/>
            <color indexed="10"/>
            <rFont val="新細明體"/>
            <family val="1"/>
            <charset val="136"/>
          </rPr>
          <t>總金額加總</t>
        </r>
        <r>
          <rPr>
            <sz val="18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<sst xmlns="http://schemas.openxmlformats.org/spreadsheetml/2006/main" count="1499" uniqueCount="842">
  <si>
    <t>廠牌</t>
    <phoneticPr fontId="3" type="noConversion"/>
  </si>
  <si>
    <t>以下是各廠牌供應度數和角度:</t>
  </si>
  <si>
    <t xml:space="preserve"> 
</t>
    <phoneticPr fontId="3" type="noConversion"/>
  </si>
  <si>
    <t>優惠價</t>
    <phoneticPr fontId="3" type="noConversion"/>
  </si>
  <si>
    <t>1.00~10.00</t>
  </si>
  <si>
    <t>1.00~10.00</t>
    <phoneticPr fontId="3" type="noConversion"/>
  </si>
  <si>
    <t>酷柏-奧克拉55UV雙週拋 (6片裝)</t>
    <phoneticPr fontId="3" type="noConversion"/>
  </si>
  <si>
    <t>永恆之美-玻尿酸彩色日拋  10片裝  永恆棕</t>
    <phoneticPr fontId="3" type="noConversion"/>
  </si>
  <si>
    <t>永恆之美-玻尿酸彩色日拋  10片裝  星願棕</t>
    <phoneticPr fontId="3" type="noConversion"/>
  </si>
  <si>
    <t>1.00~9.00</t>
    <phoneticPr fontId="3" type="noConversion"/>
  </si>
  <si>
    <t>0.00~9.00</t>
  </si>
  <si>
    <t>0.00/1.00~7.50</t>
  </si>
  <si>
    <t>0.00/1.00~10.00</t>
  </si>
  <si>
    <t>0.00/1.00~9.00</t>
  </si>
  <si>
    <t>0.00/1.00~8.00</t>
  </si>
  <si>
    <t>0.00/1.00~9.00</t>
    <phoneticPr fontId="3" type="noConversion"/>
  </si>
  <si>
    <t>0.00/1.00~10.00</t>
    <phoneticPr fontId="3" type="noConversion"/>
  </si>
  <si>
    <t xml:space="preserve"> </t>
    <phoneticPr fontId="3" type="noConversion"/>
  </si>
  <si>
    <t>0/1.00~9.00</t>
  </si>
  <si>
    <t>睛靈-彩色日拋 10片裝  15.0  玫瑰之心</t>
    <phoneticPr fontId="3" type="noConversion"/>
  </si>
  <si>
    <t>睛靈-彩色日拋 10片裝  15.0  光芒棕</t>
    <phoneticPr fontId="3" type="noConversion"/>
  </si>
  <si>
    <t>睛靈-彩色日拋 10片裝  15.0  摩卡</t>
    <phoneticPr fontId="3" type="noConversion"/>
  </si>
  <si>
    <t>睛靈-彩色日拋 10片裝  15.0  霧灰</t>
    <phoneticPr fontId="3" type="noConversion"/>
  </si>
  <si>
    <t>愛能視-雙週拋透明  6片裝</t>
    <phoneticPr fontId="3" type="noConversion"/>
  </si>
  <si>
    <t>0.50~12.00</t>
  </si>
  <si>
    <t>0.50~12.00</t>
    <phoneticPr fontId="3" type="noConversion"/>
  </si>
  <si>
    <t>0~0.50~9.00</t>
  </si>
  <si>
    <t>0~0.50~9.00</t>
    <phoneticPr fontId="3" type="noConversion"/>
  </si>
  <si>
    <t>1.00-12.00</t>
  </si>
  <si>
    <t>0~1.00~12.00</t>
    <phoneticPr fontId="3" type="noConversion"/>
  </si>
  <si>
    <t>帝康~光漾瞬間彩色日拋 10片裝 霧光杏</t>
    <phoneticPr fontId="3" type="noConversion"/>
  </si>
  <si>
    <t>帝康~光漾瞬間彩色日拋 10片裝 極光灰</t>
    <phoneticPr fontId="3" type="noConversion"/>
  </si>
  <si>
    <t>帝康~光漾瞬間彩色日拋 10片裝 瞬光黑</t>
    <phoneticPr fontId="3" type="noConversion"/>
  </si>
  <si>
    <t>帝康~光漾瞬間彩色日拋 10片裝 曙光棕</t>
    <phoneticPr fontId="3" type="noConversion"/>
  </si>
  <si>
    <t>1.00~12.00</t>
    <phoneticPr fontId="3" type="noConversion"/>
  </si>
  <si>
    <t>帝康~蕾絲彩色月拋 1片裝  黑色</t>
    <phoneticPr fontId="3" type="noConversion"/>
  </si>
  <si>
    <t>帝康~蕾絲彩色月拋 1片裝  棕色</t>
    <phoneticPr fontId="3" type="noConversion"/>
  </si>
  <si>
    <t xml:space="preserve">帝康~散光日拋 10片裝  </t>
    <phoneticPr fontId="3" type="noConversion"/>
  </si>
  <si>
    <t xml:space="preserve">參考散光表  </t>
    <phoneticPr fontId="3" type="noConversion"/>
  </si>
  <si>
    <t>美 若 康</t>
    <phoneticPr fontId="3" type="noConversion"/>
  </si>
  <si>
    <t>+4.00~-10.00</t>
    <phoneticPr fontId="3" type="noConversion"/>
  </si>
  <si>
    <t>0~0.50~10.00</t>
  </si>
  <si>
    <t>0~0.50~10.00</t>
    <phoneticPr fontId="3" type="noConversion"/>
  </si>
  <si>
    <t>注意事項:訂購散光拋要註明散光度數.角度,以便出貨</t>
    <phoneticPr fontId="3" type="noConversion"/>
  </si>
  <si>
    <t>供應散光度:-75.-125.-175.度</t>
    <phoneticPr fontId="3" type="noConversion"/>
  </si>
  <si>
    <t>近視-6.50以上(含)停止供應散光225度</t>
    <phoneticPr fontId="3" type="noConversion"/>
  </si>
  <si>
    <t>近視6.50~-9.00 (每50度一級)</t>
    <phoneticPr fontId="3" type="noConversion"/>
  </si>
  <si>
    <t>散光度 -2.25 供應角度:10,20,70,80,90,100,110,160,170,180</t>
    <phoneticPr fontId="3" type="noConversion"/>
  </si>
  <si>
    <t>供應散光度: 75, 125, 175</t>
  </si>
  <si>
    <t>供應散光度: 75, 125, 175</t>
    <phoneticPr fontId="3" type="noConversion"/>
  </si>
  <si>
    <t>( + )度數需國外預訂約4~8週</t>
  </si>
  <si>
    <r>
      <rPr>
        <b/>
        <sz val="12"/>
        <color theme="6" tint="-0.499984740745262"/>
        <rFont val="新細明體"/>
        <family val="1"/>
        <charset val="136"/>
      </rPr>
      <t>愛爾康O2散光月拋</t>
    </r>
    <r>
      <rPr>
        <sz val="12"/>
        <rFont val="新細明體"/>
        <family val="1"/>
        <charset val="136"/>
      </rPr>
      <t>:3片裝    鏡片弧度:8.7mm  鏡片直徑:14.5mm</t>
    </r>
    <phoneticPr fontId="3" type="noConversion"/>
  </si>
  <si>
    <t>供應散光度: 75, 125, 175, 225</t>
    <phoneticPr fontId="3" type="noConversion"/>
  </si>
  <si>
    <r>
      <rPr>
        <b/>
        <sz val="12"/>
        <color rgb="FF00B050"/>
        <rFont val="新細明體"/>
        <family val="1"/>
        <charset val="136"/>
      </rPr>
      <t>博士倫舒視能散光日拋</t>
    </r>
    <r>
      <rPr>
        <sz val="12"/>
        <rFont val="新細明體"/>
        <family val="1"/>
        <charset val="136"/>
      </rPr>
      <t>:30片裝   鏡片弧度:8.4mm  鏡片直徑:14.5mm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</si>
  <si>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</si>
  <si>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rPr>
        <b/>
        <sz val="12"/>
        <color rgb="FF0070C0"/>
        <rFont val="新細明體"/>
        <family val="1"/>
        <charset val="136"/>
      </rPr>
      <t>博士倫舒服能散光日拋</t>
    </r>
    <r>
      <rPr>
        <sz val="12"/>
        <rFont val="新細明體"/>
        <family val="1"/>
        <charset val="136"/>
      </rPr>
      <t>:30片裝   鏡片弧度:8.6mm  鏡片直徑:14.2mm</t>
    </r>
    <phoneticPr fontId="3" type="noConversion"/>
  </si>
  <si>
    <r>
      <t>供應度數:-0.00~-8.00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</t>
    </r>
    <r>
      <rPr>
        <sz val="12"/>
        <color rgb="FFFF000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+0.25~+4.00(25度一級)</t>
    </r>
    <phoneticPr fontId="3" type="noConversion"/>
  </si>
  <si>
    <r>
      <t>供應度數:-0.00~-10.00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</si>
  <si>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</si>
  <si>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t>供應散光度: 75, 125, 175, 225, 275</t>
    <phoneticPr fontId="3" type="noConversion"/>
  </si>
  <si>
    <t>( + )度數無供應散光275</t>
  </si>
  <si>
    <r>
      <rPr>
        <b/>
        <sz val="12"/>
        <color theme="9" tint="-0.499984740745262"/>
        <rFont val="新細明體"/>
        <family val="1"/>
        <charset val="136"/>
      </rPr>
      <t>博士倫散光雙週拋</t>
    </r>
    <r>
      <rPr>
        <sz val="12"/>
        <rFont val="新細明體"/>
        <family val="1"/>
        <charset val="136"/>
      </rPr>
      <t>: 6片裝   鏡片弧度:8.5mm  鏡片直徑:14.5mm</t>
    </r>
    <phoneticPr fontId="3" type="noConversion"/>
  </si>
  <si>
    <r>
      <rPr>
        <b/>
        <sz val="12"/>
        <color theme="8"/>
        <rFont val="新細明體"/>
        <family val="1"/>
        <charset val="136"/>
      </rPr>
      <t>博士倫純視二代散光月拋</t>
    </r>
    <r>
      <rPr>
        <sz val="12"/>
        <rFont val="新細明體"/>
        <family val="1"/>
        <charset val="136"/>
      </rPr>
      <t>: 1片裝   鏡片弧度:8.9mm  鏡片直徑:14.5mm</t>
    </r>
    <phoneticPr fontId="3" type="noConversion"/>
  </si>
  <si>
    <r>
      <rPr>
        <b/>
        <sz val="12"/>
        <color theme="6" tint="-0.499984740745262"/>
        <rFont val="新細明體"/>
        <family val="1"/>
        <charset val="136"/>
      </rPr>
      <t>博士倫輕水氧散光月拋</t>
    </r>
    <r>
      <rPr>
        <sz val="12"/>
        <rFont val="新細明體"/>
        <family val="1"/>
        <charset val="136"/>
      </rPr>
      <t>: 3片裝   鏡片弧度:8.6mm  鏡片直徑:14.5mm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</si>
  <si>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</si>
  <si>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t>供應散光度: 75, 125, 175, 225, 275</t>
  </si>
  <si>
    <r>
      <rPr>
        <b/>
        <sz val="12"/>
        <color theme="9" tint="-0.499984740745262"/>
        <rFont val="新細明體"/>
        <family val="1"/>
        <charset val="136"/>
      </rPr>
      <t>酷柏佰美視睛潤散光日拋</t>
    </r>
    <r>
      <rPr>
        <sz val="12"/>
        <rFont val="新細明體"/>
        <family val="1"/>
        <charset val="136"/>
      </rPr>
      <t>:30片裝  鏡片弧度:8.7mm  鏡片直徑:14.5mm</t>
    </r>
    <phoneticPr fontId="3" type="noConversion"/>
  </si>
  <si>
    <r>
      <rPr>
        <b/>
        <sz val="12"/>
        <color theme="8" tint="-0.499984740745262"/>
        <rFont val="新細明體"/>
        <family val="1"/>
        <charset val="136"/>
      </rPr>
      <t>酷柏佰視明矽水膠散光月拋</t>
    </r>
    <r>
      <rPr>
        <sz val="12"/>
        <rFont val="新細明體"/>
        <family val="1"/>
        <charset val="136"/>
      </rPr>
      <t>:3片裝  鏡片弧度:8.7mm  鏡片直徑:14.5mm</t>
    </r>
    <phoneticPr fontId="3" type="noConversion"/>
  </si>
  <si>
    <r>
      <rPr>
        <b/>
        <sz val="12"/>
        <color theme="5" tint="-0.249977111117893"/>
        <rFont val="新細明體"/>
        <family val="1"/>
        <charset val="136"/>
      </rPr>
      <t>帝康散光日拋</t>
    </r>
    <r>
      <rPr>
        <sz val="12"/>
        <rFont val="新細明體"/>
        <family val="1"/>
        <charset val="136"/>
      </rPr>
      <t>: 10片裝   鏡片弧度:8.6mm  鏡片直徑:14.3mm</t>
    </r>
    <phoneticPr fontId="3" type="noConversion"/>
  </si>
  <si>
    <t>散光度 -2.25 供應軸度10°,20°,90°,160°,170°,180°</t>
    <phoneticPr fontId="3" type="noConversion"/>
  </si>
  <si>
    <r>
      <t>供應軸度:</t>
    </r>
    <r>
      <rPr>
        <sz val="11"/>
        <color theme="1"/>
        <rFont val="新細明體"/>
        <family val="1"/>
        <charset val="136"/>
      </rPr>
      <t>10,20,30,40,50,60,70,80,90,100,110,120,130,140,150,160,170,180</t>
    </r>
    <phoneticPr fontId="3" type="noConversion"/>
  </si>
  <si>
    <t>供應軸度:10,20,30,40,50,60,90,120,130,140,150,160,170,180</t>
    <phoneticPr fontId="3" type="noConversion"/>
  </si>
  <si>
    <r>
      <t xml:space="preserve">供應軸度:全軸度10度一級,台灣庫存角度10,20,90,160,170,180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</si>
  <si>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r>
      <t xml:space="preserve">供應軸度:10,20,90,160,170,180 </t>
    </r>
    <r>
      <rPr>
        <sz val="12"/>
        <color rgb="FFFF0000"/>
        <rFont val="新細明體"/>
        <family val="1"/>
        <charset val="136"/>
      </rPr>
      <t>(60,70,80,90,100,110,120需國外訂製)</t>
    </r>
    <phoneticPr fontId="3" type="noConversion"/>
  </si>
  <si>
    <t>供應軸度:20,90,160,180</t>
    <phoneticPr fontId="3" type="noConversion"/>
  </si>
  <si>
    <r>
      <t xml:space="preserve">供應軸度:全軸度10度一級,台灣庫存角軸度10,20,90,160,170,180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</si>
  <si>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t>供應軸度: 10, 160, 170, 180</t>
    <phoneticPr fontId="3" type="noConversion"/>
  </si>
  <si>
    <r>
      <t xml:space="preserve">供應軸度:全軸度10度一級,台灣庫存軸度10,20,90,160,170,180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</si>
  <si>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t xml:space="preserve">近視-7.50以下供應軸度: 20,90,160,180  近視-7.50以上供應軸度: 90,180  </t>
    <phoneticPr fontId="3" type="noConversion"/>
  </si>
  <si>
    <t>0.00/1.00~8.00</t>
    <phoneticPr fontId="3" type="noConversion"/>
  </si>
  <si>
    <t>安 視 優(嬌 生)</t>
    <phoneticPr fontId="3" type="noConversion"/>
  </si>
  <si>
    <t>0.00/-1.00~-10.00</t>
  </si>
  <si>
    <t>安  儷</t>
    <phoneticPr fontId="3" type="noConversion"/>
  </si>
  <si>
    <t xml:space="preserve">帝康~光漾瞬間玻尿酸日拋 30片裝 </t>
    <phoneticPr fontId="3" type="noConversion"/>
  </si>
  <si>
    <t xml:space="preserve">酷柏-優氧矽水膠月拋 6片裝            </t>
    <phoneticPr fontId="3" type="noConversion"/>
  </si>
  <si>
    <t>博士倫-蕾絲漾眸月拋~曖昧可可 1片裝</t>
    <phoneticPr fontId="3" type="noConversion"/>
  </si>
  <si>
    <t xml:space="preserve">博士倫-蕾絲漾眸月拋~深情黑 1片裝  </t>
    <phoneticPr fontId="3" type="noConversion"/>
  </si>
  <si>
    <t xml:space="preserve">博士倫-蕾絲漾眸月拋~迷戀紫 1片裝  </t>
    <phoneticPr fontId="3" type="noConversion"/>
  </si>
  <si>
    <t xml:space="preserve">博士倫-蕾絲漾眸月拋~告白灰 1片裝  </t>
    <phoneticPr fontId="3" type="noConversion"/>
  </si>
  <si>
    <t>商品名稱</t>
    <phoneticPr fontId="3" type="noConversion"/>
  </si>
  <si>
    <t xml:space="preserve">酷柏-佰視明矽水膠月拋 6片裝                </t>
    <phoneticPr fontId="3" type="noConversion"/>
  </si>
  <si>
    <t xml:space="preserve">酷柏-佰視明矽水膠月拋 1片裝                </t>
    <phoneticPr fontId="3" type="noConversion"/>
  </si>
  <si>
    <t xml:space="preserve">美若康-沐氧矽水膠彩色月拋1片裝  炫耀灰 </t>
    <phoneticPr fontId="3" type="noConversion"/>
  </si>
  <si>
    <t xml:space="preserve">美若康-沐氧矽水膠彩色月拋1片裝  炫耀棕 </t>
    <phoneticPr fontId="3" type="noConversion"/>
  </si>
  <si>
    <t xml:space="preserve">愛能視-彩色日拋 10片裝   晴雨棕     </t>
    <phoneticPr fontId="3" type="noConversion"/>
  </si>
  <si>
    <t xml:space="preserve">愛能視-彩色日拋 10片裝   晴雨紫     </t>
    <phoneticPr fontId="3" type="noConversion"/>
  </si>
  <si>
    <t xml:space="preserve">愛能視-彩色日拋 10片裝   花火黑     </t>
    <phoneticPr fontId="3" type="noConversion"/>
  </si>
  <si>
    <t xml:space="preserve">愛能視-月拋透明  1片裝     </t>
    <phoneticPr fontId="3" type="noConversion"/>
  </si>
  <si>
    <t xml:space="preserve">愛能視-彩色月拋 1片裝    花舞黑      </t>
    <phoneticPr fontId="3" type="noConversion"/>
  </si>
  <si>
    <t xml:space="preserve">愛能視-彩色月拋 1片裝    花舞棕      </t>
    <phoneticPr fontId="3" type="noConversion"/>
  </si>
  <si>
    <t>愛能視-彩色月拋 1片裝    蝶衣棕</t>
    <phoneticPr fontId="3" type="noConversion"/>
  </si>
  <si>
    <t>愛能視-彩色月拋 1片裝    蝶衣黑</t>
    <phoneticPr fontId="3" type="noConversion"/>
  </si>
  <si>
    <t xml:space="preserve">帝康~光漾瞬間彩色日拋 10片裝 波光綠  </t>
    <phoneticPr fontId="3" type="noConversion"/>
  </si>
  <si>
    <t xml:space="preserve">帝康~光漾瞬間彩色日拋 10片裝 迷光紫  </t>
    <phoneticPr fontId="3" type="noConversion"/>
  </si>
  <si>
    <t>帝康~光漾瞬間彩色日拋 10片裝 暮光褐</t>
    <phoneticPr fontId="3" type="noConversion"/>
  </si>
  <si>
    <t xml:space="preserve">帝康~光漾瞬間彩色月拋 1片裝 梨花霜灰  </t>
    <phoneticPr fontId="3" type="noConversion"/>
  </si>
  <si>
    <t xml:space="preserve">帝康~光漾瞬間彩色月拋 1片裝 啵啵杏棕  </t>
    <phoneticPr fontId="3" type="noConversion"/>
  </si>
  <si>
    <t xml:space="preserve">帝康~光漾瞬間彩色月拋 1片裝 瑞草青森  </t>
    <phoneticPr fontId="3" type="noConversion"/>
  </si>
  <si>
    <t>永恆之美-彩色月拋 單彩 1片裝   晶璨黑</t>
    <phoneticPr fontId="3" type="noConversion"/>
  </si>
  <si>
    <t>永恆之美-彩色月拋 單彩 1片裝   晶璨棕</t>
    <phoneticPr fontId="3" type="noConversion"/>
  </si>
  <si>
    <t>永恆之美-彩色月拋 三彩 1片裝   晶璨三彩棕</t>
    <phoneticPr fontId="3" type="noConversion"/>
  </si>
  <si>
    <t>安儷-韓風混血彩色日拋  10片裝熱戀岩灰</t>
    <phoneticPr fontId="3" type="noConversion"/>
  </si>
  <si>
    <t xml:space="preserve">美若康-沐氧矽水膠彩色月拋1片裝  告白藍  </t>
    <phoneticPr fontId="3" type="noConversion"/>
  </si>
  <si>
    <t xml:space="preserve">美若康-沐氧矽水膠彩色月拋1片裝  告白灰  </t>
    <phoneticPr fontId="3" type="noConversion"/>
  </si>
  <si>
    <t xml:space="preserve">美若康-沐氧矽水膠彩色月拋1片裝  告白粉  </t>
    <phoneticPr fontId="3" type="noConversion"/>
  </si>
  <si>
    <t xml:space="preserve">美若康-沐氧矽水膠月拋   2片裝 </t>
    <phoneticPr fontId="3" type="noConversion"/>
  </si>
  <si>
    <t>美若康-沐氧矽水膠日拋  20片裝</t>
    <phoneticPr fontId="3" type="noConversion"/>
  </si>
  <si>
    <t xml:space="preserve">博士倫-蕾絲漾眸月拋~焦糖棕 1片裝  </t>
    <phoneticPr fontId="3" type="noConversion"/>
  </si>
  <si>
    <t xml:space="preserve">博士倫-蕾絲漾眸月拋~巧酥灰 1片裝  </t>
    <phoneticPr fontId="3" type="noConversion"/>
  </si>
  <si>
    <t xml:space="preserve">博士倫-蕾絲漾眸月拋~野莓粉 1片裝  </t>
    <phoneticPr fontId="3" type="noConversion"/>
  </si>
  <si>
    <t xml:space="preserve">博士倫-蕾絲漾眸月拋~抹茶綠 1片裝  </t>
    <phoneticPr fontId="3" type="noConversion"/>
  </si>
  <si>
    <t xml:space="preserve">博士倫-蕾絲漾眸月拋~薄荷藍 1片裝 </t>
    <phoneticPr fontId="3" type="noConversion"/>
  </si>
  <si>
    <t>供應度數: -1.00~-9.00</t>
    <phoneticPr fontId="3" type="noConversion"/>
  </si>
  <si>
    <t>供應散光度: -1.00.   -1.75</t>
    <phoneticPr fontId="3" type="noConversion"/>
  </si>
  <si>
    <t>供應軸度:  180 . 10 . 170</t>
    <phoneticPr fontId="3" type="noConversion"/>
  </si>
  <si>
    <t>盒數加總</t>
    <phoneticPr fontId="3" type="noConversion"/>
  </si>
  <si>
    <t>供應散光度: 75, 125, 175</t>
    <phoneticPr fontId="3" type="noConversion"/>
  </si>
  <si>
    <t>        散光度225 ,275供應軸度：20°, 90° ,160°,180°</t>
    <phoneticPr fontId="3" type="noConversion"/>
  </si>
  <si>
    <t xml:space="preserve">海昌-矽水膠月拋 1 片裝  </t>
  </si>
  <si>
    <t>0~1.00~8.00</t>
  </si>
  <si>
    <t>0~1.00~8.00</t>
    <phoneticPr fontId="3" type="noConversion"/>
  </si>
  <si>
    <t>帳號: 20471000081041</t>
    <phoneticPr fontId="3" type="noConversion"/>
  </si>
  <si>
    <t>供應軸度: 10, 20, 30, 40, 50, 60, 70, 80, 90, 100, 110, 120, 130, 140, 150, 160, 170, 180</t>
    <phoneticPr fontId="3" type="noConversion"/>
  </si>
  <si>
    <t xml:space="preserve">海昌-真水感日拋  30片裝      </t>
    <phoneticPr fontId="3" type="noConversion"/>
  </si>
  <si>
    <t>1.00-10.00</t>
    <phoneticPr fontId="3" type="noConversion"/>
  </si>
  <si>
    <t>美若康-威氏康雙效保濕日拋 30片裝</t>
    <phoneticPr fontId="3" type="noConversion"/>
  </si>
  <si>
    <t xml:space="preserve">0~8.00 參考散光表  </t>
    <phoneticPr fontId="3" type="noConversion"/>
  </si>
  <si>
    <t xml:space="preserve">0~9.00 參考散光表  </t>
    <phoneticPr fontId="3" type="noConversion"/>
  </si>
  <si>
    <t>酷柏-彩色日拋  10片裝   黑色</t>
    <phoneticPr fontId="3" type="noConversion"/>
  </si>
  <si>
    <t>酷柏-彩色日拋  10片裝   棕色</t>
    <phoneticPr fontId="3" type="noConversion"/>
  </si>
  <si>
    <t>酷柏-彩色日拋  10片裝   黑棕色</t>
    <phoneticPr fontId="3" type="noConversion"/>
  </si>
  <si>
    <t>-1.00-10.00</t>
    <phoneticPr fontId="3" type="noConversion"/>
  </si>
  <si>
    <t>-1.00-12.00</t>
    <phoneticPr fontId="3" type="noConversion"/>
  </si>
  <si>
    <t>0.00/1.00~6.00</t>
  </si>
  <si>
    <t>0.00/1.00~6.00</t>
    <phoneticPr fontId="3" type="noConversion"/>
  </si>
  <si>
    <t xml:space="preserve">博士倫彩色日拋 蕾絲炫眸 10片裝 ~炫眸咖 </t>
    <phoneticPr fontId="3" type="noConversion"/>
  </si>
  <si>
    <t xml:space="preserve">博士倫彩色日拋-蕾絲炫眸 10片裝 ~炫眸灰   </t>
    <phoneticPr fontId="3" type="noConversion"/>
  </si>
  <si>
    <t xml:space="preserve">博士倫彩色日拋-蕾絲炫眸 10片裝 ~炫眸金 </t>
    <phoneticPr fontId="3" type="noConversion"/>
  </si>
  <si>
    <t xml:space="preserve">博士倫彩色日拋-蕾絲炫眸 10片裝 ~迷眸棕 </t>
    <phoneticPr fontId="3" type="noConversion"/>
  </si>
  <si>
    <t xml:space="preserve">博士倫彩色日拋-蕾絲炫眸 10片裝 ~迷眸灰 </t>
    <phoneticPr fontId="3" type="noConversion"/>
  </si>
  <si>
    <t>博士倫彩色日拋-蕾絲炫眸 10片裝 ~日暮棕</t>
    <phoneticPr fontId="3" type="noConversion"/>
  </si>
  <si>
    <t xml:space="preserve">博士倫彩色日拋-蕾絲炫眸 10片裝 ~暮夜紫 </t>
    <phoneticPr fontId="3" type="noConversion"/>
  </si>
  <si>
    <t>博士倫彩色日拋-蕾絲炫眸 10片裝 ~暮光可可</t>
    <phoneticPr fontId="3" type="noConversion"/>
  </si>
  <si>
    <t>http://eyecolor.com.tw/index.php</t>
    <phoneticPr fontId="3" type="noConversion"/>
  </si>
  <si>
    <t>安儷-彩色日拋  10片裝 (棕色)</t>
    <phoneticPr fontId="3" type="noConversion"/>
  </si>
  <si>
    <t>安儷-彩色日拋  10片裝 (黑色)</t>
    <phoneticPr fontId="3" type="noConversion"/>
  </si>
  <si>
    <t>安儷-彩色日拋  10片裝 (金色)</t>
    <phoneticPr fontId="3" type="noConversion"/>
  </si>
  <si>
    <t xml:space="preserve">安儷-自然美人彩色日拋 10片裝 (銀灰)  </t>
    <phoneticPr fontId="3" type="noConversion"/>
  </si>
  <si>
    <t xml:space="preserve">安儷-自然美人彩色日拋 10片裝 (粉金)  </t>
    <phoneticPr fontId="3" type="noConversion"/>
  </si>
  <si>
    <t>隱形眼鏡醫療器材 水盒</t>
    <phoneticPr fontId="3" type="noConversion"/>
  </si>
  <si>
    <t>隱形眼鏡專用 長夾子</t>
    <phoneticPr fontId="3" type="noConversion"/>
  </si>
  <si>
    <t>買一送一</t>
    <phoneticPr fontId="3" type="noConversion"/>
  </si>
  <si>
    <t>2片送60ML保養液</t>
  </si>
  <si>
    <t xml:space="preserve">酷柏-優氧矽水膠月拋   1片裝    </t>
    <phoneticPr fontId="3" type="noConversion"/>
  </si>
  <si>
    <t xml:space="preserve">海昌-真水感月拋  2片裝      </t>
    <phoneticPr fontId="3" type="noConversion"/>
  </si>
  <si>
    <t>-1.00~-10.00</t>
    <phoneticPr fontId="3" type="noConversion"/>
  </si>
  <si>
    <t>-1.00-10.00</t>
  </si>
  <si>
    <t>愛爾康-睛豔彩色日拋10片裝 (灰)</t>
    <phoneticPr fontId="3" type="noConversion"/>
  </si>
  <si>
    <t>愛爾康-睛豔彩色日拋10片裝 (棕)</t>
    <phoneticPr fontId="3" type="noConversion"/>
  </si>
  <si>
    <t>愛爾康-睛豔彩色日拋10片裝 (藍)</t>
    <phoneticPr fontId="3" type="noConversion"/>
  </si>
  <si>
    <t>0.-1.00~-9.00.-10.00</t>
    <phoneticPr fontId="3" type="noConversion"/>
  </si>
  <si>
    <t>0.00~-1.00~-8.00</t>
  </si>
  <si>
    <t>0.00~-1.00~-8.00</t>
    <phoneticPr fontId="3" type="noConversion"/>
  </si>
  <si>
    <t>0.00~-10.00</t>
    <phoneticPr fontId="3" type="noConversion"/>
  </si>
  <si>
    <t>-1.00~-10.00</t>
  </si>
  <si>
    <t>-1.00~-12.00</t>
    <phoneticPr fontId="3" type="noConversion"/>
  </si>
  <si>
    <t xml:space="preserve">0~9.00  參考散光表  </t>
    <phoneticPr fontId="3" type="noConversion"/>
  </si>
  <si>
    <r>
      <t xml:space="preserve">睛靈-水藍透明日拋 30片裝 </t>
    </r>
    <r>
      <rPr>
        <b/>
        <sz val="16"/>
        <color rgb="FFFF0000"/>
        <rFont val="標楷體"/>
        <family val="4"/>
        <charset val="136"/>
      </rPr>
      <t xml:space="preserve">  6盒</t>
    </r>
    <phoneticPr fontId="3" type="noConversion"/>
  </si>
  <si>
    <t>--1.00~-10.00</t>
    <phoneticPr fontId="3" type="noConversion"/>
  </si>
  <si>
    <t>買一副送一副</t>
    <phoneticPr fontId="3" type="noConversion"/>
  </si>
  <si>
    <t>-1.00~-12.00</t>
  </si>
  <si>
    <t>0/-1.00~-9.00</t>
    <phoneticPr fontId="3" type="noConversion"/>
  </si>
  <si>
    <t>帝康~彩色日拋 10片裝   時尚棕</t>
    <phoneticPr fontId="3" type="noConversion"/>
  </si>
  <si>
    <t>帝康~彩色日拋 10片裝   亮眼黑</t>
    <phoneticPr fontId="3" type="noConversion"/>
  </si>
  <si>
    <t>0/-1.00~-9.00</t>
  </si>
  <si>
    <t>二.買一送一活動商品填入數量1即是1+1若填入2即是2+2 計價。若兩眼不同度只想買1+1,請在右眼填1 左眼填 贈</t>
  </si>
  <si>
    <t>四.部分商品優惠無帶入公式,我們彙整會處理.</t>
    <phoneticPr fontId="3" type="noConversion"/>
  </si>
  <si>
    <t>五.一般商品寄出時間為訂貨日隔天算起3~5個工作天會寄出.若因廠商缺貨可能會延遲或通知更換品項or取消該品項訂貨</t>
    <phoneticPr fontId="3" type="noConversion"/>
  </si>
  <si>
    <t>永恆之美-玻尿酸彩色日拋  10片裝  永恆黑</t>
    <phoneticPr fontId="3" type="noConversion"/>
  </si>
  <si>
    <t>0.-1.00~-800</t>
    <phoneticPr fontId="3" type="noConversion"/>
  </si>
  <si>
    <t>美若康-璀璨矽水膠彩色 日拋10片裝 心動棕</t>
    <phoneticPr fontId="3" type="noConversion"/>
  </si>
  <si>
    <t>美若康-璀璨矽水膠彩色 日拋10片裝 心動灰</t>
    <phoneticPr fontId="3" type="noConversion"/>
  </si>
  <si>
    <t>美若康-璀璨矽水膠彩色 日拋10片裝 心動藍</t>
    <phoneticPr fontId="3" type="noConversion"/>
  </si>
  <si>
    <t>美若康-沐氧矽水膠彩色 日拋10片裝 告白粉 新</t>
    <phoneticPr fontId="3" type="noConversion"/>
  </si>
  <si>
    <t>美若康-沐氧矽水膠彩色 日拋10片裝 告白灰 新</t>
    <phoneticPr fontId="3" type="noConversion"/>
  </si>
  <si>
    <t>美若康-沐氧矽水膠彩色 日拋10片裝 告白藍 新</t>
    <phoneticPr fontId="3" type="noConversion"/>
  </si>
  <si>
    <t>美若康-幸福系列 彩色 日拋10片裝 幸福棕  新</t>
    <phoneticPr fontId="3" type="noConversion"/>
  </si>
  <si>
    <t>美若康-幸福系列 彩色 日拋10片裝 幸福灰  新</t>
    <phoneticPr fontId="3" type="noConversion"/>
  </si>
  <si>
    <r>
      <rPr>
        <b/>
        <sz val="26"/>
        <color rgb="FF00B050"/>
        <rFont val="標楷體"/>
        <family val="4"/>
        <charset val="136"/>
      </rPr>
      <t xml:space="preserve">瞳 色 光 學  </t>
    </r>
    <r>
      <rPr>
        <b/>
        <sz val="26"/>
        <color rgb="FFFF0000"/>
        <rFont val="標楷體"/>
        <family val="4"/>
        <charset val="136"/>
      </rPr>
      <t>韓 國 原 裝 進 口</t>
    </r>
    <phoneticPr fontId="3" type="noConversion"/>
  </si>
  <si>
    <t>一.訂購時請先看各品項優惠備註&amp;註解.部分商品優惠活動會有條件限制(如拆盒蓋或拆空盒…..等),若不同意請勿訂購.</t>
    <phoneticPr fontId="3" type="noConversion"/>
  </si>
  <si>
    <t>帝       康</t>
    <phoneticPr fontId="3" type="noConversion"/>
  </si>
  <si>
    <t xml:space="preserve">帝康~臻魅彩色日拋 10片裝    臻魅褐  </t>
    <phoneticPr fontId="3" type="noConversion"/>
  </si>
  <si>
    <t>帝康~臻魅彩色日拋 10片裝    臻魅棕</t>
    <phoneticPr fontId="3" type="noConversion"/>
  </si>
  <si>
    <t>六.若因價格錯置本公司有權取消此品項訂貨.</t>
    <phoneticPr fontId="3" type="noConversion"/>
  </si>
  <si>
    <t>0~-1.00~-10.00</t>
    <phoneticPr fontId="3" type="noConversion"/>
  </si>
  <si>
    <t>市價</t>
    <phoneticPr fontId="3" type="noConversion"/>
  </si>
  <si>
    <t>安儷-彩色月拋  2片裝 (棕色)</t>
    <phoneticPr fontId="3" type="noConversion"/>
  </si>
  <si>
    <t>安儷-彩色月拋  2片裝 (黑色)</t>
    <phoneticPr fontId="3" type="noConversion"/>
  </si>
  <si>
    <t>安儷-彩色月拋  2片裝 (金色)</t>
    <phoneticPr fontId="3" type="noConversion"/>
  </si>
  <si>
    <t xml:space="preserve">愛能視-愛能視日拋  30片裝   </t>
    <phoneticPr fontId="3" type="noConversion"/>
  </si>
  <si>
    <t xml:space="preserve">愛能視-水氛 日拋  B12  30片裝 </t>
    <phoneticPr fontId="3" type="noConversion"/>
  </si>
  <si>
    <r>
      <t xml:space="preserve">愛爾康-舒適氧親水聚合月拋 </t>
    </r>
    <r>
      <rPr>
        <b/>
        <sz val="11"/>
        <color rgb="FFFF0000"/>
        <rFont val="標楷體"/>
        <family val="4"/>
        <charset val="136"/>
      </rPr>
      <t xml:space="preserve"> 3片裝 </t>
    </r>
    <phoneticPr fontId="3" type="noConversion"/>
  </si>
  <si>
    <t>愛爾康-彩色日拋10片裝  星鑽黑</t>
    <phoneticPr fontId="3" type="noConversion"/>
  </si>
  <si>
    <t>愛爾康-彩色日拋10片裝  星鑽棕</t>
    <phoneticPr fontId="3" type="noConversion"/>
  </si>
  <si>
    <r>
      <t>寶晴漸進</t>
    </r>
    <r>
      <rPr>
        <b/>
        <sz val="12"/>
        <color rgb="FFFF33CC"/>
        <rFont val="標楷體"/>
        <family val="4"/>
        <charset val="136"/>
      </rPr>
      <t>多焦點</t>
    </r>
    <r>
      <rPr>
        <b/>
        <sz val="12"/>
        <rFont val="標楷體"/>
        <family val="4"/>
        <charset val="136"/>
      </rPr>
      <t>日拋 30片裝  LOW</t>
    </r>
    <phoneticPr fontId="3" type="noConversion"/>
  </si>
  <si>
    <t>2盒500</t>
  </si>
  <si>
    <t>2盒500</t>
    <phoneticPr fontId="3" type="noConversion"/>
  </si>
  <si>
    <t>0.00/1.00~7.51</t>
  </si>
  <si>
    <t>0. -1.00~-9.00</t>
    <phoneticPr fontId="3" type="noConversion"/>
  </si>
  <si>
    <t>永恆之美-玻尿酸彩色日拋  10片裝  星願灰</t>
    <phoneticPr fontId="3" type="noConversion"/>
  </si>
  <si>
    <t>帝康~透明雙週拋   6片裝  弧度8.8</t>
    <phoneticPr fontId="3" type="noConversion"/>
  </si>
  <si>
    <t>美若康-綻美矽水膠彩色 日拋10片裝 星宿棕</t>
    <phoneticPr fontId="3" type="noConversion"/>
  </si>
  <si>
    <t>美若康-綻美矽水膠彩色 日拋10片裝 星宿黑</t>
    <phoneticPr fontId="3" type="noConversion"/>
  </si>
  <si>
    <t xml:space="preserve">愛爾康-全涵氧水梯日拋 30片裝   </t>
    <phoneticPr fontId="3" type="noConversion"/>
  </si>
  <si>
    <t>安儷-透明保濕 日拋  30片裝</t>
    <phoneticPr fontId="3" type="noConversion"/>
  </si>
  <si>
    <t>安儷-透明保濕 月拋  2片裝</t>
    <phoneticPr fontId="3" type="noConversion"/>
  </si>
  <si>
    <t>荷莉絲系列月拋 2片裝 溫柔灰 MILD GRAY</t>
    <phoneticPr fontId="3" type="noConversion"/>
  </si>
  <si>
    <t>荷莉絲系列月拋 2片裝 明亮棕 GINGER BROWN</t>
    <phoneticPr fontId="3" type="noConversion"/>
  </si>
  <si>
    <t>荷莉絲系列月拋 2片裝 幕斯咖 MOUSSE CHOCO</t>
    <phoneticPr fontId="3" type="noConversion"/>
  </si>
  <si>
    <t>荷莉絲系列月拋 2片裝 浪漫粉 PINK</t>
    <phoneticPr fontId="3" type="noConversion"/>
  </si>
  <si>
    <t>媚可麗系列月拋 2片裝 安妞灰 EYEGEE GRAY</t>
    <phoneticPr fontId="3" type="noConversion"/>
  </si>
  <si>
    <r>
      <t>eye color-月拋 1片裝 KPOP(pony巧)</t>
    </r>
    <r>
      <rPr>
        <b/>
        <sz val="9"/>
        <color theme="7" tint="0.39997558519241921"/>
        <rFont val="標楷體"/>
        <family val="4"/>
        <charset val="136"/>
      </rPr>
      <t>AEXA310</t>
    </r>
    <phoneticPr fontId="3" type="noConversion"/>
  </si>
  <si>
    <r>
      <t>eye color-月拋 1片裝 KPOP(泫雅棕)</t>
    </r>
    <r>
      <rPr>
        <b/>
        <sz val="9"/>
        <color theme="7" tint="0.39997558519241921"/>
        <rFont val="標楷體"/>
        <family val="4"/>
        <charset val="136"/>
      </rPr>
      <t>AEYA322</t>
    </r>
    <phoneticPr fontId="3" type="noConversion"/>
  </si>
  <si>
    <r>
      <t>eye color-月拋 1片裝 KPOP(聖經灰)</t>
    </r>
    <r>
      <rPr>
        <b/>
        <sz val="9"/>
        <color theme="7" tint="0.39997558519241921"/>
        <rFont val="標楷體"/>
        <family val="4"/>
        <charset val="136"/>
      </rPr>
      <t>YJA210</t>
    </r>
    <phoneticPr fontId="3" type="noConversion"/>
  </si>
  <si>
    <r>
      <t>eye color-月拋 1片裝 Kstyle(流星棕)</t>
    </r>
    <r>
      <rPr>
        <b/>
        <sz val="9"/>
        <color theme="7" tint="0.39997558519241921"/>
        <rFont val="標楷體"/>
        <family val="4"/>
        <charset val="136"/>
      </rPr>
      <t>CL364N</t>
    </r>
    <phoneticPr fontId="3" type="noConversion"/>
  </si>
  <si>
    <r>
      <t>eye color-月拋 1片裝 Kstyle(銀河灰)</t>
    </r>
    <r>
      <rPr>
        <b/>
        <sz val="9"/>
        <color theme="7" tint="0.39997558519241921"/>
        <rFont val="標楷體"/>
        <family val="4"/>
        <charset val="136"/>
      </rPr>
      <t>CL369N</t>
    </r>
    <phoneticPr fontId="3" type="noConversion"/>
  </si>
  <si>
    <r>
      <t xml:space="preserve">eye color-動漫王國I 月拋 1片裝 黃金甲 </t>
    </r>
    <r>
      <rPr>
        <b/>
        <sz val="9"/>
        <color theme="7" tint="-0.249977111117893"/>
        <rFont val="標楷體"/>
        <family val="4"/>
        <charset val="136"/>
      </rPr>
      <t>112</t>
    </r>
    <phoneticPr fontId="3" type="noConversion"/>
  </si>
  <si>
    <r>
      <t xml:space="preserve">eye color-動漫王國I 月拋 1片裝 藍精靈 </t>
    </r>
    <r>
      <rPr>
        <b/>
        <sz val="9"/>
        <color theme="7" tint="-0.249977111117893"/>
        <rFont val="標楷體"/>
        <family val="4"/>
        <charset val="136"/>
      </rPr>
      <t>032</t>
    </r>
    <phoneticPr fontId="3" type="noConversion"/>
  </si>
  <si>
    <r>
      <t xml:space="preserve">eye color-動漫王國I 月拋 1片裝 紅魔鬼 </t>
    </r>
    <r>
      <rPr>
        <b/>
        <sz val="9"/>
        <color theme="7" tint="-0.249977111117893"/>
        <rFont val="標楷體"/>
        <family val="4"/>
        <charset val="136"/>
      </rPr>
      <t>105</t>
    </r>
    <phoneticPr fontId="3" type="noConversion"/>
  </si>
  <si>
    <r>
      <t xml:space="preserve">eye color-動漫王國I 月拋 1片裝 血鑽石 </t>
    </r>
    <r>
      <rPr>
        <b/>
        <sz val="9"/>
        <color theme="7" tint="-0.249977111117893"/>
        <rFont val="標楷體"/>
        <family val="4"/>
        <charset val="136"/>
      </rPr>
      <t>086</t>
    </r>
    <phoneticPr fontId="3" type="noConversion"/>
  </si>
  <si>
    <r>
      <t xml:space="preserve">eye color-動漫王國II 月拋 1片裝 冰雪狐 </t>
    </r>
    <r>
      <rPr>
        <b/>
        <sz val="9"/>
        <color theme="7" tint="-0.249977111117893"/>
        <rFont val="標楷體"/>
        <family val="4"/>
        <charset val="136"/>
      </rPr>
      <t>079</t>
    </r>
    <phoneticPr fontId="3" type="noConversion"/>
  </si>
  <si>
    <r>
      <t xml:space="preserve">eye color-動漫王國II 月拋 1片裝 綠眼貓 </t>
    </r>
    <r>
      <rPr>
        <b/>
        <sz val="9"/>
        <color theme="7" tint="-0.249977111117893"/>
        <rFont val="標楷體"/>
        <family val="4"/>
        <charset val="136"/>
      </rPr>
      <t>126</t>
    </r>
    <phoneticPr fontId="3" type="noConversion"/>
  </si>
  <si>
    <r>
      <t xml:space="preserve">eye color-動漫王國II 月拋 1片裝 黃蜂女 </t>
    </r>
    <r>
      <rPr>
        <b/>
        <sz val="9"/>
        <color theme="7" tint="-0.249977111117893"/>
        <rFont val="標楷體"/>
        <family val="4"/>
        <charset val="136"/>
      </rPr>
      <t>072</t>
    </r>
    <phoneticPr fontId="3" type="noConversion"/>
  </si>
  <si>
    <r>
      <t xml:space="preserve">eye color-動漫王國II 月拋 1片裝 火鳳凰 </t>
    </r>
    <r>
      <rPr>
        <b/>
        <sz val="9"/>
        <color theme="7" tint="-0.249977111117893"/>
        <rFont val="標楷體"/>
        <family val="4"/>
        <charset val="136"/>
      </rPr>
      <t>101</t>
    </r>
    <phoneticPr fontId="3" type="noConversion"/>
  </si>
  <si>
    <r>
      <t xml:space="preserve">eye color-動漫王國II 月拋 1片裝 雙刃豹 </t>
    </r>
    <r>
      <rPr>
        <b/>
        <sz val="9"/>
        <color theme="7" tint="-0.249977111117893"/>
        <rFont val="標楷體"/>
        <family val="4"/>
        <charset val="136"/>
      </rPr>
      <t>202</t>
    </r>
    <phoneticPr fontId="3" type="noConversion"/>
  </si>
  <si>
    <r>
      <t xml:space="preserve">eye color-動漫王國II 月拋 1片裝 綠巨人 </t>
    </r>
    <r>
      <rPr>
        <b/>
        <sz val="9"/>
        <color theme="7" tint="-0.249977111117893"/>
        <rFont val="標楷體"/>
        <family val="4"/>
        <charset val="136"/>
      </rPr>
      <t>131</t>
    </r>
    <phoneticPr fontId="3" type="noConversion"/>
  </si>
  <si>
    <t xml:space="preserve">愛爾康-多水潤保濕日拋30片裝                                               </t>
    <phoneticPr fontId="3" type="noConversion"/>
  </si>
  <si>
    <t>5盒1000元</t>
    <phoneticPr fontId="3" type="noConversion"/>
  </si>
  <si>
    <t xml:space="preserve">愛爾康-全視氧水感矽水膠日拋 30片裝   </t>
    <phoneticPr fontId="3" type="noConversion"/>
  </si>
  <si>
    <t xml:space="preserve">帝康~臻魅彩色日拋 10片裝    安柏金 </t>
    <phoneticPr fontId="3" type="noConversion"/>
  </si>
  <si>
    <t xml:space="preserve">帝康~臻魅彩色日拋 10片裝    凱莉綠 </t>
    <phoneticPr fontId="3" type="noConversion"/>
  </si>
  <si>
    <t xml:space="preserve">帝康~臻魅彩色日拋 10片裝    奧麗灰 </t>
    <phoneticPr fontId="3" type="noConversion"/>
  </si>
  <si>
    <t>酷柏-佰美視睛潤散光日拋 30片裝</t>
    <phoneticPr fontId="3" type="noConversion"/>
  </si>
  <si>
    <t xml:space="preserve">美若康-澄氧矽水膠日拋  20片裝 </t>
    <phoneticPr fontId="3" type="noConversion"/>
  </si>
  <si>
    <t>安視優-睛漾 花眸系列10片裝  銀葉灰 FZ</t>
    <phoneticPr fontId="3" type="noConversion"/>
  </si>
  <si>
    <t>安視優-睛漾 花眸系列10片裝  松果褐 FH</t>
    <phoneticPr fontId="3" type="noConversion"/>
  </si>
  <si>
    <t>0/-1.00~-10.00</t>
    <phoneticPr fontId="3" type="noConversion"/>
  </si>
  <si>
    <t>帝康~光漾瞬間彩色日拋 10片裝 曦光微橙 新上市</t>
    <phoneticPr fontId="3" type="noConversion"/>
  </si>
  <si>
    <t>帝康~光漾瞬間彩色日拋 10片裝 極光冰灰 新上市</t>
    <phoneticPr fontId="3" type="noConversion"/>
  </si>
  <si>
    <t>帝康~光漾瞬間彩色日拋 10片裝 晨光橄欖 新上市</t>
    <phoneticPr fontId="3" type="noConversion"/>
  </si>
  <si>
    <t>數量有限售完止</t>
  </si>
  <si>
    <t xml:space="preserve">氧視加-抗藍光日拋  30片裝  </t>
    <phoneticPr fontId="3" type="noConversion"/>
  </si>
  <si>
    <t>八.本報價僅供眼鏡業同行參考.(未含稅)</t>
    <phoneticPr fontId="3" type="noConversion"/>
  </si>
  <si>
    <t>-1.00~-9.00</t>
    <phoneticPr fontId="3" type="noConversion"/>
  </si>
  <si>
    <t>童話.美漾時刻彩色月拋 1片裝 松露黑</t>
    <phoneticPr fontId="3" type="noConversion"/>
  </si>
  <si>
    <t>童話.美漾時刻彩色月拋 1片裝 格林灰</t>
    <phoneticPr fontId="3" type="noConversion"/>
  </si>
  <si>
    <t>童話.美漾時刻彩色月拋 1片裝 波卡褐</t>
    <phoneticPr fontId="3" type="noConversion"/>
  </si>
  <si>
    <t>童話.美漾時刻彩色月拋 1片裝 朗姆棕</t>
    <phoneticPr fontId="3" type="noConversion"/>
  </si>
  <si>
    <t>QUINLIVAN-2代 LIME  10片裝 檸檬黃</t>
    <phoneticPr fontId="3" type="noConversion"/>
  </si>
  <si>
    <t>QUINLIVAN-2代 LILAC 10片裝 丁香紫</t>
    <phoneticPr fontId="3" type="noConversion"/>
  </si>
  <si>
    <t>QUINLIVAN-2代 BETON 10片裝 冰川灰</t>
    <phoneticPr fontId="3" type="noConversion"/>
  </si>
  <si>
    <t>QUINLIVAN-2代 ROSY  10片裝 玫瑰棕</t>
    <phoneticPr fontId="3" type="noConversion"/>
  </si>
  <si>
    <t>QUINLIVAN-2代 RUBY  10片裝 寶石紅</t>
    <phoneticPr fontId="3" type="noConversion"/>
  </si>
  <si>
    <t xml:space="preserve">酷柏-珂朗清矽水膠日拋 30片裝 </t>
    <phoneticPr fontId="3" type="noConversion"/>
  </si>
  <si>
    <t>七.訂錯度數或品項.更換處理需自付寄回及寄去運費,寄回時請用便條紙註明需更換度數、品項、數量。若我方出錯度數則運費本公司處理。</t>
    <phoneticPr fontId="3" type="noConversion"/>
  </si>
  <si>
    <t xml:space="preserve">     或再次訂貨時寄回處理,和訂貨一起寄回。</t>
    <phoneticPr fontId="3" type="noConversion"/>
  </si>
  <si>
    <r>
      <t>三.多盒優惠組如兩眼度數不同,只買一組者請在左右兩邊數量各填上 (</t>
    </r>
    <r>
      <rPr>
        <b/>
        <sz val="12"/>
        <color theme="3" tint="-0.249977111117893"/>
        <rFont val="新細明體"/>
        <family val="1"/>
        <charset val="136"/>
      </rPr>
      <t xml:space="preserve"> ' 0.5</t>
    </r>
    <r>
      <rPr>
        <b/>
        <sz val="12"/>
        <color rgb="FFFF0000"/>
        <rFont val="新細明體"/>
        <family val="1"/>
        <charset val="136"/>
      </rPr>
      <t xml:space="preserve"> )</t>
    </r>
    <phoneticPr fontId="3" type="noConversion"/>
  </si>
  <si>
    <t xml:space="preserve">博士倫-遊樂園系列月拋~  夢幻銀河 1片裝  </t>
    <phoneticPr fontId="3" type="noConversion"/>
  </si>
  <si>
    <t xml:space="preserve">博士倫-遊樂園系列月拋~  夢遊仙境 1片裝  </t>
    <phoneticPr fontId="3" type="noConversion"/>
  </si>
  <si>
    <t xml:space="preserve">博士倫-遊樂園系列月拋~  月光漫舞 1片裝  </t>
    <phoneticPr fontId="3" type="noConversion"/>
  </si>
  <si>
    <t>博士倫-輕水氧矽水膠 月拋  1片裝</t>
    <phoneticPr fontId="3" type="noConversion"/>
  </si>
  <si>
    <t>博士倫-輕水氧矽水膠 月拋  3片裝</t>
    <phoneticPr fontId="3" type="noConversion"/>
  </si>
  <si>
    <t>菲士康</t>
    <phoneticPr fontId="3" type="noConversion"/>
  </si>
  <si>
    <t xml:space="preserve">愛爾康-小星瞳彩色日拋10片裝  暖風褐  </t>
    <phoneticPr fontId="3" type="noConversion"/>
  </si>
  <si>
    <t xml:space="preserve">愛爾康-小星瞳彩色日拋10片裝  焦糖栗  </t>
    <phoneticPr fontId="3" type="noConversion"/>
  </si>
  <si>
    <t xml:space="preserve">愛爾康-小星瞳彩色日拋10片裝  湖水藍  </t>
    <phoneticPr fontId="3" type="noConversion"/>
  </si>
  <si>
    <t xml:space="preserve">愛爾康-小星瞳彩色日拋10片裝  冰河灰  </t>
    <phoneticPr fontId="3" type="noConversion"/>
  </si>
  <si>
    <t xml:space="preserve">愛爾康-小星瞳彩色日拋10片裝  玫瑰金  </t>
    <phoneticPr fontId="3" type="noConversion"/>
  </si>
  <si>
    <r>
      <t>愛爾康-親水聚合</t>
    </r>
    <r>
      <rPr>
        <b/>
        <sz val="12"/>
        <color rgb="FFC0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月拋  3片裝  </t>
    </r>
    <phoneticPr fontId="3" type="noConversion"/>
  </si>
  <si>
    <t>安視優-睛漾 花眸系列10片裝  榛果拿鐵 FL</t>
    <phoneticPr fontId="3" type="noConversion"/>
  </si>
  <si>
    <t xml:space="preserve">安視優-睛漾 花眸系列10片裝  野莓果釀 FC </t>
    <phoneticPr fontId="3" type="noConversion"/>
  </si>
  <si>
    <t xml:space="preserve">博士倫彩色日拋-蕾絲炫眸 10片裝 ~暖陽橘  </t>
    <phoneticPr fontId="3" type="noConversion"/>
  </si>
  <si>
    <t xml:space="preserve">博士倫彩色日拋-蕾絲炫眸 10片裝 ~晨曦褐  </t>
    <phoneticPr fontId="3" type="noConversion"/>
  </si>
  <si>
    <t xml:space="preserve">博士倫-蕾絲漾眸月拋~甜橙棕 1片裝  </t>
    <phoneticPr fontId="3" type="noConversion"/>
  </si>
  <si>
    <t xml:space="preserve">博士倫-蕾絲漾眸月拋~松露灰 1片裝  </t>
    <phoneticPr fontId="3" type="noConversion"/>
  </si>
  <si>
    <t xml:space="preserve">博士倫-蕾絲漾眸月拋~薰衣草紫 1片裝 </t>
    <phoneticPr fontId="3" type="noConversion"/>
  </si>
  <si>
    <t>星歐-升級版透明保濕日拋 30片裝</t>
    <phoneticPr fontId="3" type="noConversion"/>
  </si>
  <si>
    <r>
      <t>eye color-季拋 1片裝 蜜糖天使(棕)</t>
    </r>
    <r>
      <rPr>
        <b/>
        <sz val="9"/>
        <rFont val="標楷體"/>
        <family val="4"/>
        <charset val="136"/>
      </rPr>
      <t>NLA220</t>
    </r>
    <phoneticPr fontId="3" type="noConversion"/>
  </si>
  <si>
    <r>
      <t>eye color-季拋 1片裝 蜜糖天使(灰)</t>
    </r>
    <r>
      <rPr>
        <b/>
        <sz val="9"/>
        <rFont val="標楷體"/>
        <family val="4"/>
        <charset val="136"/>
      </rPr>
      <t>NLA210</t>
    </r>
    <phoneticPr fontId="3" type="noConversion"/>
  </si>
  <si>
    <r>
      <t>eye color-季拋 1片裝 蜜糖天使(巧克力)</t>
    </r>
    <r>
      <rPr>
        <b/>
        <sz val="9"/>
        <rFont val="標楷體"/>
        <family val="4"/>
        <charset val="136"/>
      </rPr>
      <t>NLA290</t>
    </r>
    <phoneticPr fontId="3" type="noConversion"/>
  </si>
  <si>
    <r>
      <t>eye color-季拋 1片裝 大女神(藍)</t>
    </r>
    <r>
      <rPr>
        <b/>
        <sz val="9"/>
        <rFont val="標楷體"/>
        <family val="4"/>
        <charset val="136"/>
      </rPr>
      <t>PTD360</t>
    </r>
    <phoneticPr fontId="3" type="noConversion"/>
  </si>
  <si>
    <r>
      <t>eye color-季拋 1片裝 大女神(酒紅)</t>
    </r>
    <r>
      <rPr>
        <b/>
        <sz val="9"/>
        <rFont val="標楷體"/>
        <family val="4"/>
        <charset val="136"/>
      </rPr>
      <t>PTD320</t>
    </r>
    <phoneticPr fontId="3" type="noConversion"/>
  </si>
  <si>
    <r>
      <t>eye color-季拋 1片裝 大女神(巧克力)</t>
    </r>
    <r>
      <rPr>
        <b/>
        <sz val="9"/>
        <rFont val="標楷體"/>
        <family val="4"/>
        <charset val="136"/>
      </rPr>
      <t>PUD290</t>
    </r>
    <phoneticPr fontId="3" type="noConversion"/>
  </si>
  <si>
    <r>
      <t>eye color-季拋 1片裝 草莓甜心(粉)</t>
    </r>
    <r>
      <rPr>
        <b/>
        <sz val="9"/>
        <rFont val="標楷體"/>
        <family val="4"/>
        <charset val="136"/>
      </rPr>
      <t>PYD300</t>
    </r>
    <phoneticPr fontId="3" type="noConversion"/>
  </si>
  <si>
    <r>
      <t>eye color-季拋 1片裝 草莓甜心(棕)</t>
    </r>
    <r>
      <rPr>
        <b/>
        <sz val="9"/>
        <rFont val="標楷體"/>
        <family val="4"/>
        <charset val="136"/>
      </rPr>
      <t>PYD320</t>
    </r>
    <phoneticPr fontId="3" type="noConversion"/>
  </si>
  <si>
    <r>
      <t>eye color-季拋 1片裝 草莓甜心(藍)</t>
    </r>
    <r>
      <rPr>
        <b/>
        <sz val="9"/>
        <rFont val="標楷體"/>
        <family val="4"/>
        <charset val="136"/>
      </rPr>
      <t>PYD360</t>
    </r>
    <phoneticPr fontId="3" type="noConversion"/>
  </si>
  <si>
    <r>
      <t>eye color-季拋 1片裝 草莓甜心(黑)</t>
    </r>
    <r>
      <rPr>
        <b/>
        <sz val="9"/>
        <rFont val="標楷體"/>
        <family val="4"/>
        <charset val="136"/>
      </rPr>
      <t>3ED110</t>
    </r>
    <phoneticPr fontId="3" type="noConversion"/>
  </si>
  <si>
    <r>
      <t>eye color-季拋 1片裝 草莓甜心(巧克力)</t>
    </r>
    <r>
      <rPr>
        <b/>
        <sz val="9"/>
        <rFont val="標楷體"/>
        <family val="4"/>
        <charset val="136"/>
      </rPr>
      <t>3ED120</t>
    </r>
    <phoneticPr fontId="3" type="noConversion"/>
  </si>
  <si>
    <r>
      <t>eye color-季拋 1片裝 芭比愛(金)</t>
    </r>
    <r>
      <rPr>
        <b/>
        <sz val="9"/>
        <rFont val="標楷體"/>
        <family val="4"/>
        <charset val="136"/>
      </rPr>
      <t>LQD2F2</t>
    </r>
    <phoneticPr fontId="3" type="noConversion"/>
  </si>
  <si>
    <r>
      <t>eye color-季拋 1片裝 芭比愛(銀)</t>
    </r>
    <r>
      <rPr>
        <b/>
        <sz val="9"/>
        <rFont val="標楷體"/>
        <family val="4"/>
        <charset val="136"/>
      </rPr>
      <t>LQD2F1</t>
    </r>
    <phoneticPr fontId="3" type="noConversion"/>
  </si>
  <si>
    <r>
      <t>eye color-季拋 1片裝 芭比愛(灰)</t>
    </r>
    <r>
      <rPr>
        <b/>
        <sz val="9"/>
        <rFont val="標楷體"/>
        <family val="4"/>
        <charset val="136"/>
      </rPr>
      <t>CRD312</t>
    </r>
    <phoneticPr fontId="3" type="noConversion"/>
  </si>
  <si>
    <r>
      <t>eye color-季拋 1片裝 芭比愛(棕)</t>
    </r>
    <r>
      <rPr>
        <b/>
        <sz val="9"/>
        <rFont val="標楷體"/>
        <family val="4"/>
        <charset val="136"/>
      </rPr>
      <t>CRD322</t>
    </r>
    <phoneticPr fontId="3" type="noConversion"/>
  </si>
  <si>
    <r>
      <t>eye color-季拋 1片裝 混血娃娃(藍)</t>
    </r>
    <r>
      <rPr>
        <b/>
        <sz val="9"/>
        <rFont val="標楷體"/>
        <family val="4"/>
        <charset val="136"/>
      </rPr>
      <t>CV23-L</t>
    </r>
    <phoneticPr fontId="3" type="noConversion"/>
  </si>
  <si>
    <r>
      <t>eye color-季拋 1片裝 混血娃娃(灰)</t>
    </r>
    <r>
      <rPr>
        <b/>
        <sz val="9"/>
        <rFont val="標楷體"/>
        <family val="4"/>
        <charset val="136"/>
      </rPr>
      <t>CV26-L</t>
    </r>
    <phoneticPr fontId="3" type="noConversion"/>
  </si>
  <si>
    <r>
      <t>eye color-季拋 1片裝 混血娃娃(棕)</t>
    </r>
    <r>
      <rPr>
        <b/>
        <sz val="9"/>
        <rFont val="標楷體"/>
        <family val="4"/>
        <charset val="136"/>
      </rPr>
      <t>CV24-L</t>
    </r>
    <phoneticPr fontId="3" type="noConversion"/>
  </si>
  <si>
    <r>
      <t>eye color-季拋 1片裝 混血娃娃(紫)</t>
    </r>
    <r>
      <rPr>
        <b/>
        <sz val="9"/>
        <rFont val="標楷體"/>
        <family val="4"/>
        <charset val="136"/>
      </rPr>
      <t>CV21-L</t>
    </r>
    <phoneticPr fontId="3" type="noConversion"/>
  </si>
  <si>
    <r>
      <t>eye color-季拋 1片裝 極光(北極灰)</t>
    </r>
    <r>
      <rPr>
        <b/>
        <sz val="9"/>
        <rFont val="標楷體"/>
        <family val="4"/>
        <charset val="136"/>
      </rPr>
      <t>PNB111</t>
    </r>
    <phoneticPr fontId="3" type="noConversion"/>
  </si>
  <si>
    <r>
      <t>eye color-季拋 1片裝 極光(水晶灰)</t>
    </r>
    <r>
      <rPr>
        <b/>
        <sz val="9"/>
        <rFont val="標楷體"/>
        <family val="4"/>
        <charset val="136"/>
      </rPr>
      <t>PNB170</t>
    </r>
    <phoneticPr fontId="3" type="noConversion"/>
  </si>
  <si>
    <r>
      <t>eye color-季拋 1片裝 極光(湖水綠)</t>
    </r>
    <r>
      <rPr>
        <b/>
        <sz val="9"/>
        <rFont val="標楷體"/>
        <family val="4"/>
        <charset val="136"/>
      </rPr>
      <t>WED410</t>
    </r>
    <phoneticPr fontId="3" type="noConversion"/>
  </si>
  <si>
    <r>
      <t>eye color-季拋 1片裝 極光再現(櫻花粉)</t>
    </r>
    <r>
      <rPr>
        <b/>
        <sz val="9"/>
        <rFont val="標楷體"/>
        <family val="4"/>
        <charset val="136"/>
      </rPr>
      <t>AQD400</t>
    </r>
    <phoneticPr fontId="3" type="noConversion"/>
  </si>
  <si>
    <r>
      <t>eye color-季拋 1片裝 極光再現(橄欖綠)</t>
    </r>
    <r>
      <rPr>
        <b/>
        <sz val="9"/>
        <rFont val="標楷體"/>
        <family val="4"/>
        <charset val="136"/>
      </rPr>
      <t>AQD430</t>
    </r>
    <phoneticPr fontId="3" type="noConversion"/>
  </si>
  <si>
    <r>
      <t>eye color-季拋 1片裝 極光再現(迷迭藍)</t>
    </r>
    <r>
      <rPr>
        <b/>
        <sz val="9"/>
        <rFont val="標楷體"/>
        <family val="4"/>
        <charset val="136"/>
      </rPr>
      <t>AQD460</t>
    </r>
    <phoneticPr fontId="3" type="noConversion"/>
  </si>
  <si>
    <r>
      <t>eye color-季拋 1片裝 K-STAR(哈妮棕)</t>
    </r>
    <r>
      <rPr>
        <b/>
        <sz val="9"/>
        <rFont val="標楷體"/>
        <family val="4"/>
        <charset val="136"/>
      </rPr>
      <t>YLB320</t>
    </r>
    <phoneticPr fontId="3" type="noConversion"/>
  </si>
  <si>
    <r>
      <t>eye color-季拋 1片裝 K-STAR(聖經橘)</t>
    </r>
    <r>
      <rPr>
        <b/>
        <sz val="9"/>
        <rFont val="標楷體"/>
        <family val="4"/>
        <charset val="136"/>
      </rPr>
      <t>YJA220</t>
    </r>
    <phoneticPr fontId="3" type="noConversion"/>
  </si>
  <si>
    <r>
      <t>eye color-季拋 1片裝 K-STAR(太妍灰)</t>
    </r>
    <r>
      <rPr>
        <b/>
        <sz val="9"/>
        <rFont val="標楷體"/>
        <family val="4"/>
        <charset val="136"/>
      </rPr>
      <t>YKA310</t>
    </r>
    <phoneticPr fontId="3" type="noConversion"/>
  </si>
  <si>
    <r>
      <t>eye color-季拋 1片裝 Aqua(水吻棕)</t>
    </r>
    <r>
      <rPr>
        <b/>
        <sz val="9"/>
        <rFont val="標楷體"/>
        <family val="4"/>
        <charset val="136"/>
      </rPr>
      <t>CL289</t>
    </r>
    <phoneticPr fontId="3" type="noConversion"/>
  </si>
  <si>
    <r>
      <t>eye color-季拋 1片裝 Aqua(水吻灰)</t>
    </r>
    <r>
      <rPr>
        <b/>
        <sz val="9"/>
        <rFont val="標楷體"/>
        <family val="4"/>
        <charset val="136"/>
      </rPr>
      <t>CL290</t>
    </r>
    <phoneticPr fontId="3" type="noConversion"/>
  </si>
  <si>
    <r>
      <t>eye color-季拋 1片裝 Aqua(水漾棕)</t>
    </r>
    <r>
      <rPr>
        <b/>
        <sz val="9"/>
        <rFont val="標楷體"/>
        <family val="4"/>
        <charset val="136"/>
      </rPr>
      <t>CL285</t>
    </r>
    <phoneticPr fontId="3" type="noConversion"/>
  </si>
  <si>
    <r>
      <t>eye color-季拋 1片裝 Aqua(水漾灰)</t>
    </r>
    <r>
      <rPr>
        <b/>
        <sz val="9"/>
        <rFont val="標楷體"/>
        <family val="4"/>
        <charset val="136"/>
      </rPr>
      <t>CL286</t>
    </r>
    <phoneticPr fontId="3" type="noConversion"/>
  </si>
  <si>
    <r>
      <t>eye color-季拋 1片裝 K-LOOK(釜山灰)</t>
    </r>
    <r>
      <rPr>
        <b/>
        <sz val="9"/>
        <rFont val="標楷體"/>
        <family val="4"/>
        <charset val="136"/>
      </rPr>
      <t>PWB320</t>
    </r>
    <phoneticPr fontId="3" type="noConversion"/>
  </si>
  <si>
    <r>
      <t>eye color-季拋 1片裝 K-LOOK(首爾棕)</t>
    </r>
    <r>
      <rPr>
        <b/>
        <sz val="9"/>
        <rFont val="標楷體"/>
        <family val="4"/>
        <charset val="136"/>
      </rPr>
      <t>YKA320</t>
    </r>
    <phoneticPr fontId="3" type="noConversion"/>
  </si>
  <si>
    <r>
      <t>eye color-季拋 1片裝 K-LOOK(大邱綠)</t>
    </r>
    <r>
      <rPr>
        <b/>
        <sz val="9"/>
        <rFont val="標楷體"/>
        <family val="4"/>
        <charset val="136"/>
      </rPr>
      <t>FAA320</t>
    </r>
    <phoneticPr fontId="3" type="noConversion"/>
  </si>
  <si>
    <r>
      <t>eye color-季拋 1片裝 CLASSIC(尊貴灰)</t>
    </r>
    <r>
      <rPr>
        <b/>
        <sz val="9"/>
        <rFont val="標楷體"/>
        <family val="4"/>
        <charset val="136"/>
      </rPr>
      <t>HCC311C</t>
    </r>
    <phoneticPr fontId="3" type="noConversion"/>
  </si>
  <si>
    <r>
      <t>eye color-季拋 1片裝 CLASSIC(典雅棕)</t>
    </r>
    <r>
      <rPr>
        <b/>
        <sz val="9"/>
        <rFont val="標楷體"/>
        <family val="4"/>
        <charset val="136"/>
      </rPr>
      <t>HVD220</t>
    </r>
    <phoneticPr fontId="3" type="noConversion"/>
  </si>
  <si>
    <r>
      <t>eye color-季拋 1片裝 CLASSIC(耀眼橙)</t>
    </r>
    <r>
      <rPr>
        <b/>
        <sz val="9"/>
        <rFont val="標楷體"/>
        <family val="4"/>
        <charset val="136"/>
      </rPr>
      <t>ADMD220</t>
    </r>
    <phoneticPr fontId="3" type="noConversion"/>
  </si>
  <si>
    <r>
      <t>eye color-季拋 1片裝 田園(松露灰)</t>
    </r>
    <r>
      <rPr>
        <b/>
        <sz val="9"/>
        <rFont val="標楷體"/>
        <family val="4"/>
        <charset val="136"/>
      </rPr>
      <t>AFYB210</t>
    </r>
    <phoneticPr fontId="3" type="noConversion"/>
  </si>
  <si>
    <r>
      <t>eye color-季拋 1片裝 田園(田栗棕)</t>
    </r>
    <r>
      <rPr>
        <b/>
        <sz val="9"/>
        <rFont val="標楷體"/>
        <family val="4"/>
        <charset val="136"/>
      </rPr>
      <t>AFYB270</t>
    </r>
    <phoneticPr fontId="3" type="noConversion"/>
  </si>
  <si>
    <r>
      <t>eye color-季拋 1片裝 純粹(純淨黑)</t>
    </r>
    <r>
      <rPr>
        <b/>
        <sz val="9"/>
        <rFont val="標楷體"/>
        <family val="4"/>
        <charset val="136"/>
      </rPr>
      <t>45D111</t>
    </r>
    <phoneticPr fontId="3" type="noConversion"/>
  </si>
  <si>
    <r>
      <t>eye color-季拋 1片裝 純粹(晶透巧)</t>
    </r>
    <r>
      <rPr>
        <b/>
        <sz val="9"/>
        <rFont val="標楷體"/>
        <family val="4"/>
        <charset val="136"/>
      </rPr>
      <t>44A121</t>
    </r>
    <phoneticPr fontId="3" type="noConversion"/>
  </si>
  <si>
    <t xml:space="preserve">愛能視-彩色日拋 10片裝   夜空黑   </t>
    <phoneticPr fontId="3" type="noConversion"/>
  </si>
  <si>
    <t xml:space="preserve">愛能視-彩色日拋 10片裝   夜空金  </t>
    <phoneticPr fontId="3" type="noConversion"/>
  </si>
  <si>
    <t xml:space="preserve">愛能視-彩色日拋 10片裝   花火煙灰 </t>
    <phoneticPr fontId="3" type="noConversion"/>
  </si>
  <si>
    <t xml:space="preserve">愛能視-彩色日拋 10片裝   豔陽橘   </t>
    <phoneticPr fontId="3" type="noConversion"/>
  </si>
  <si>
    <t xml:space="preserve">愛能視-彩色日拋 10片裝   春雨粉   </t>
    <phoneticPr fontId="3" type="noConversion"/>
  </si>
  <si>
    <t>酷     柏</t>
    <phoneticPr fontId="3" type="noConversion"/>
  </si>
  <si>
    <t xml:space="preserve">美若康-舒活雙效保濕日拋 30片裝 </t>
    <phoneticPr fontId="3" type="noConversion"/>
  </si>
  <si>
    <t>帝康~光漾瞬間彩色月拋 1片裝 暗夜微光</t>
    <phoneticPr fontId="3" type="noConversion"/>
  </si>
  <si>
    <t>帝康~光漾瞬間彩色月拋 1片裝 黑洞冷灰</t>
    <phoneticPr fontId="3" type="noConversion"/>
  </si>
  <si>
    <t>帝康~光漾瞬間彩色月拋 1片裝 星落光棕</t>
    <phoneticPr fontId="3" type="noConversion"/>
  </si>
  <si>
    <r>
      <t>九.訂貨滿3000優惠免運費</t>
    </r>
    <r>
      <rPr>
        <b/>
        <sz val="10"/>
        <color rgb="FF0070C0"/>
        <rFont val="新細明體"/>
        <family val="1"/>
        <charset val="136"/>
      </rPr>
      <t>(扣除優惠金額已彙整後金額為準).</t>
    </r>
    <r>
      <rPr>
        <b/>
        <sz val="12"/>
        <color rgb="FFFF0000"/>
        <rFont val="新細明體"/>
        <family val="1"/>
        <charset val="136"/>
      </rPr>
      <t>訂購任何保養液都不納入金額計算.</t>
    </r>
    <phoneticPr fontId="3" type="noConversion"/>
  </si>
  <si>
    <t>Freshkon NAHO  日拋  10片裝   萌意卡其</t>
    <phoneticPr fontId="3" type="noConversion"/>
  </si>
  <si>
    <t>Freshkon NAHO  日拋  10片裝   時尚冰灰</t>
    <phoneticPr fontId="3" type="noConversion"/>
  </si>
  <si>
    <r>
      <t>QUINLIVAN</t>
    </r>
    <r>
      <rPr>
        <b/>
        <sz val="11"/>
        <color rgb="FFFF0000"/>
        <rFont val="標楷體"/>
        <family val="4"/>
        <charset val="136"/>
      </rPr>
      <t xml:space="preserve">二代 </t>
    </r>
    <phoneticPr fontId="3" type="noConversion"/>
  </si>
  <si>
    <t>0.00~12.00</t>
    <phoneticPr fontId="3" type="noConversion"/>
  </si>
  <si>
    <t>酷柏-奧克拉睛潤日拋  30片裝</t>
    <phoneticPr fontId="3" type="noConversion"/>
  </si>
  <si>
    <t xml:space="preserve">酷柏-優氧 矽水膠日拋 30片裝 </t>
    <phoneticPr fontId="3" type="noConversion"/>
  </si>
  <si>
    <r>
      <t>博士倫-舒視能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日拋 30片裝   </t>
    </r>
    <phoneticPr fontId="3" type="noConversion"/>
  </si>
  <si>
    <t xml:space="preserve">卡沛兒 透明長效保濕日拋 30片裝 </t>
  </si>
  <si>
    <t>買一盒送5片</t>
  </si>
  <si>
    <t>日 本 實 瞳</t>
    <phoneticPr fontId="3" type="noConversion"/>
  </si>
  <si>
    <r>
      <t>4盒送10片.10盒送30片</t>
    </r>
    <r>
      <rPr>
        <b/>
        <sz val="9"/>
        <color rgb="FFFF0000"/>
        <rFont val="標楷體"/>
        <family val="4"/>
        <charset val="136"/>
      </rPr>
      <t xml:space="preserve"> (同度數或2度數各5盒)</t>
    </r>
    <phoneticPr fontId="3" type="noConversion"/>
  </si>
  <si>
    <t>實瞳~京櫻日拋 32片裝</t>
    <phoneticPr fontId="3" type="noConversion"/>
  </si>
  <si>
    <t>-1.00~-16.00</t>
    <phoneticPr fontId="3" type="noConversion"/>
  </si>
  <si>
    <r>
      <t xml:space="preserve">實瞳~京櫻 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rFont val="標楷體"/>
        <family val="4"/>
        <charset val="136"/>
      </rPr>
      <t xml:space="preserve"> 日拋 32片裝</t>
    </r>
    <phoneticPr fontId="3" type="noConversion"/>
  </si>
  <si>
    <t>實瞳~歐夏蕾彩色日拋 10片裝   綠淺草</t>
    <phoneticPr fontId="3" type="noConversion"/>
  </si>
  <si>
    <t>實瞳~歐夏蕾彩色日拋 10片裝   紫涉谷</t>
    <phoneticPr fontId="3" type="noConversion"/>
  </si>
  <si>
    <t>實瞳~可芙蕾彩色日拋 10片裝   褐</t>
    <phoneticPr fontId="3" type="noConversion"/>
  </si>
  <si>
    <t>實瞳~可芙蕾彩色日拋 10片裝   黑</t>
    <phoneticPr fontId="3" type="noConversion"/>
  </si>
  <si>
    <t>實瞳~可芙蕾彩色日拋 10片裝   棕</t>
    <phoneticPr fontId="3" type="noConversion"/>
  </si>
  <si>
    <t>0.00/1.00~7.50</t>
    <phoneticPr fontId="3" type="noConversion"/>
  </si>
  <si>
    <t>星歐-升級版透明保濕日拋  10盒</t>
    <phoneticPr fontId="3" type="noConversion"/>
  </si>
  <si>
    <r>
      <t xml:space="preserve">Freshkon NAHO 月拋 1片裝 迷靄紫褐 </t>
    </r>
    <r>
      <rPr>
        <b/>
        <sz val="9"/>
        <rFont val="標楷體"/>
        <family val="4"/>
        <charset val="136"/>
      </rPr>
      <t>Envi Fog</t>
    </r>
    <phoneticPr fontId="3" type="noConversion"/>
  </si>
  <si>
    <r>
      <t xml:space="preserve">Freshkon NAHO 月拋 1片裝 馥芮奶灰 </t>
    </r>
    <r>
      <rPr>
        <b/>
        <sz val="9"/>
        <rFont val="標楷體"/>
        <family val="4"/>
        <charset val="136"/>
      </rPr>
      <t>Café Flat White</t>
    </r>
    <phoneticPr fontId="3" type="noConversion"/>
  </si>
  <si>
    <r>
      <t xml:space="preserve">Freshkon NAHO 月拋 1片裝 率性青空 </t>
    </r>
    <r>
      <rPr>
        <b/>
        <sz val="9"/>
        <rFont val="標楷體"/>
        <family val="4"/>
        <charset val="136"/>
      </rPr>
      <t>Flora Snapdragon</t>
    </r>
    <phoneticPr fontId="3" type="noConversion"/>
  </si>
  <si>
    <t>特別推薦給容易乾眼紅眼者使用</t>
    <phoneticPr fontId="3" type="noConversion"/>
  </si>
  <si>
    <t xml:space="preserve">美若康-沐氧矽水膠彩色月拋1片裝  綻美棕  </t>
    <phoneticPr fontId="3" type="noConversion"/>
  </si>
  <si>
    <t xml:space="preserve">美若康-沐氧矽水膠彩色月拋1片裝  綻美黑   </t>
    <phoneticPr fontId="3" type="noConversion"/>
  </si>
  <si>
    <t>0.00/-1.00~-8.00</t>
    <phoneticPr fontId="3" type="noConversion"/>
  </si>
  <si>
    <t xml:space="preserve">愛能視-彩色日拋 10片裝   花火棕     </t>
    <phoneticPr fontId="3" type="noConversion"/>
  </si>
  <si>
    <t>海昌-星眸彩色日拋10片裝(大銀河墨) S3</t>
    <phoneticPr fontId="3" type="noConversion"/>
  </si>
  <si>
    <r>
      <t>布偶貓系列月拋 2片裝 波斯灰</t>
    </r>
    <r>
      <rPr>
        <b/>
        <sz val="11"/>
        <rFont val="標楷體"/>
        <family val="4"/>
        <charset val="136"/>
      </rPr>
      <t xml:space="preserve"> GRAY</t>
    </r>
    <phoneticPr fontId="3" type="noConversion"/>
  </si>
  <si>
    <r>
      <t>布偶貓系列月拋 2片裝 布偶棕</t>
    </r>
    <r>
      <rPr>
        <b/>
        <sz val="11"/>
        <rFont val="標楷體"/>
        <family val="4"/>
        <charset val="136"/>
      </rPr>
      <t xml:space="preserve"> BROWN</t>
    </r>
    <phoneticPr fontId="3" type="noConversion"/>
  </si>
  <si>
    <r>
      <t xml:space="preserve">YOUS系列月拋 2片裝 允貞黑 BLACK  </t>
    </r>
    <r>
      <rPr>
        <b/>
        <sz val="12"/>
        <color rgb="FFFF0000"/>
        <rFont val="標楷體"/>
        <family val="4"/>
        <charset val="136"/>
      </rPr>
      <t>新!</t>
    </r>
    <phoneticPr fontId="3" type="noConversion"/>
  </si>
  <si>
    <r>
      <t xml:space="preserve">YOUS系列月拋 2片裝 允貞棕 CHOCO  </t>
    </r>
    <r>
      <rPr>
        <b/>
        <sz val="12"/>
        <color rgb="FFFF0000"/>
        <rFont val="標楷體"/>
        <family val="4"/>
        <charset val="136"/>
      </rPr>
      <t>新!</t>
    </r>
    <phoneticPr fontId="3" type="noConversion"/>
  </si>
  <si>
    <r>
      <t xml:space="preserve">YOUS系列月拋 2片裝 允貞灰 GRAY   </t>
    </r>
    <r>
      <rPr>
        <b/>
        <sz val="12"/>
        <color rgb="FFFF0000"/>
        <rFont val="標楷體"/>
        <family val="4"/>
        <charset val="136"/>
      </rPr>
      <t>新!</t>
    </r>
    <phoneticPr fontId="3" type="noConversion"/>
  </si>
  <si>
    <t>QUINLIVAN-2代 STAR  10片裝 星光綠</t>
    <phoneticPr fontId="3" type="noConversion"/>
  </si>
  <si>
    <t xml:space="preserve">博士倫舒服能59雙週拋  6片裝       </t>
    <phoneticPr fontId="3" type="noConversion"/>
  </si>
  <si>
    <r>
      <rPr>
        <b/>
        <sz val="12"/>
        <color indexed="8"/>
        <rFont val="標楷體"/>
        <family val="4"/>
        <charset val="136"/>
      </rPr>
      <t>博士倫舒服能</t>
    </r>
    <r>
      <rPr>
        <b/>
        <sz val="12"/>
        <color indexed="10"/>
        <rFont val="標楷體"/>
        <family val="4"/>
        <charset val="136"/>
      </rPr>
      <t>雙週散光</t>
    </r>
    <r>
      <rPr>
        <b/>
        <sz val="12"/>
        <color indexed="8"/>
        <rFont val="標楷體"/>
        <family val="4"/>
        <charset val="136"/>
      </rPr>
      <t xml:space="preserve"> 6片裝      </t>
    </r>
    <phoneticPr fontId="3" type="noConversion"/>
  </si>
  <si>
    <t xml:space="preserve">博士倫-輕水氧 奧澈日拋 30片裝 </t>
    <phoneticPr fontId="3" type="noConversion"/>
  </si>
  <si>
    <t>SKY 煙花月拋 1片裝     煙花紫</t>
    <phoneticPr fontId="3" type="noConversion"/>
  </si>
  <si>
    <t>SKY 煙花月拋 1片裝     煙花藍</t>
    <phoneticPr fontId="3" type="noConversion"/>
  </si>
  <si>
    <t>SKY 煙花月拋 1片裝     煙花棕</t>
    <phoneticPr fontId="3" type="noConversion"/>
  </si>
  <si>
    <t>SKY 煙花月拋 1片裝     煙花灰</t>
    <phoneticPr fontId="3" type="noConversion"/>
  </si>
  <si>
    <r>
      <t xml:space="preserve">博士倫-舒服能日拋  30片裝 </t>
    </r>
    <r>
      <rPr>
        <b/>
        <sz val="18"/>
        <color rgb="FF0070C0"/>
        <rFont val="標楷體"/>
        <family val="4"/>
        <charset val="136"/>
      </rPr>
      <t xml:space="preserve"> </t>
    </r>
    <phoneticPr fontId="3" type="noConversion"/>
  </si>
  <si>
    <t xml:space="preserve">博士倫-舒視能日拋  30片裝   </t>
    <phoneticPr fontId="3" type="noConversion"/>
  </si>
  <si>
    <t>-1.00~-9.00</t>
  </si>
  <si>
    <r>
      <t>博士倫~舒視能</t>
    </r>
    <r>
      <rPr>
        <b/>
        <sz val="14"/>
        <color rgb="FF0070C0"/>
        <rFont val="標楷體"/>
        <family val="4"/>
        <charset val="136"/>
      </rPr>
      <t>潤濕液</t>
    </r>
    <r>
      <rPr>
        <b/>
        <sz val="14"/>
        <color rgb="FFFF0000"/>
        <rFont val="標楷體"/>
        <family val="4"/>
        <charset val="136"/>
      </rPr>
      <t xml:space="preserve"> (30支單瓶裝)</t>
    </r>
    <phoneticPr fontId="3" type="noConversion"/>
  </si>
  <si>
    <t>2盒多送4片.6盒4500元</t>
  </si>
  <si>
    <t>2盒多送4片.6盒4500元</t>
    <phoneticPr fontId="3" type="noConversion"/>
  </si>
  <si>
    <t>2盒多送4片.6盒3900元</t>
    <phoneticPr fontId="3" type="noConversion"/>
  </si>
  <si>
    <t>韓國LENSME</t>
    <phoneticPr fontId="3" type="noConversion"/>
  </si>
  <si>
    <t xml:space="preserve">        散光：-0.75, -1.25, </t>
    <phoneticPr fontId="3" type="noConversion"/>
  </si>
  <si>
    <t>        散光度-1.75 -2.25 供應軸度：10°,20° ,160°, 170°,180°</t>
    <phoneticPr fontId="3" type="noConversion"/>
  </si>
  <si>
    <r>
      <t>供應近視度:0.00   -0.50~-6.00 (25度一級</t>
    </r>
    <r>
      <rPr>
        <sz val="12"/>
        <rFont val="新細明體"/>
        <family val="1"/>
        <charset val="136"/>
      </rPr>
      <t>)</t>
    </r>
    <phoneticPr fontId="3" type="noConversion"/>
  </si>
  <si>
    <t>供應散光度:-0.75.-1.25.-1.75</t>
    <phoneticPr fontId="3" type="noConversion"/>
  </si>
  <si>
    <r>
      <rPr>
        <b/>
        <sz val="12"/>
        <color theme="3" tint="0.39997558519241921"/>
        <rFont val="新細明體"/>
        <family val="1"/>
        <charset val="136"/>
      </rPr>
      <t>安視優超涵水散光日拋</t>
    </r>
    <r>
      <rPr>
        <sz val="12"/>
        <color theme="3" tint="0.39997558519241921"/>
        <rFont val="新細明體"/>
        <family val="1"/>
        <charset val="136"/>
      </rPr>
      <t>:</t>
    </r>
    <r>
      <rPr>
        <sz val="11"/>
        <rFont val="新細明體"/>
        <family val="1"/>
        <charset val="136"/>
      </rPr>
      <t>30片裝   鏡片弧度:8.5mm  鏡片直徑:14.5mm</t>
    </r>
    <phoneticPr fontId="3" type="noConversion"/>
  </si>
  <si>
    <r>
      <t>供應近視度: 0.00  -0.50~-9.00(-6.00以下25度一級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</t>
    </r>
    <phoneticPr fontId="3" type="noConversion"/>
  </si>
  <si>
    <t>供應軸度:10,20,70,80,90,100,110,160,170,180</t>
    <phoneticPr fontId="3" type="noConversion"/>
  </si>
  <si>
    <r>
      <rPr>
        <b/>
        <sz val="12"/>
        <color theme="6" tint="-0.249977111117893"/>
        <rFont val="新細明體"/>
        <family val="1"/>
        <charset val="136"/>
      </rPr>
      <t>安視優歐舒適散光雙週拋</t>
    </r>
    <r>
      <rPr>
        <sz val="12"/>
        <color theme="1"/>
        <rFont val="新細明體"/>
        <family val="1"/>
        <charset val="136"/>
      </rPr>
      <t xml:space="preserve">:6片裝    </t>
    </r>
    <r>
      <rPr>
        <sz val="11"/>
        <color theme="1"/>
        <rFont val="新細明體"/>
        <family val="1"/>
        <charset val="136"/>
      </rPr>
      <t>鏡片弧度:8.6mm  鏡片直徑:14.5mm</t>
    </r>
    <phoneticPr fontId="3" type="noConversion"/>
  </si>
  <si>
    <t>( + )度數需國外預訂約4~8週</t>
    <phoneticPr fontId="3" type="noConversion"/>
  </si>
  <si>
    <t>請參考備註</t>
  </si>
  <si>
    <t>請參考備註</t>
    <phoneticPr fontId="3" type="noConversion"/>
  </si>
  <si>
    <t>永恆之美-湛氧矽水膠透明月拋 1片裝</t>
    <phoneticPr fontId="3" type="noConversion"/>
  </si>
  <si>
    <t xml:space="preserve">星歐-香氛彩色月拋 1片裝 #210 風鈴木 </t>
    <phoneticPr fontId="3" type="noConversion"/>
  </si>
  <si>
    <t>星歐-香氛彩色月拋 1片裝 #211 滿天星</t>
    <phoneticPr fontId="3" type="noConversion"/>
  </si>
  <si>
    <t>星歐-香氛彩色月拋 1片裝 #212 小雛菊</t>
    <phoneticPr fontId="3" type="noConversion"/>
  </si>
  <si>
    <t>實瞳~歐夏蕾彩色日拋 10片裝   金原宿</t>
    <phoneticPr fontId="3" type="noConversion"/>
  </si>
  <si>
    <r>
      <t>實瞳~京櫻</t>
    </r>
    <r>
      <rPr>
        <b/>
        <sz val="11"/>
        <color rgb="FFFF0000"/>
        <rFont val="標楷體"/>
        <family val="4"/>
        <charset val="136"/>
      </rPr>
      <t>雙焦點</t>
    </r>
    <r>
      <rPr>
        <b/>
        <sz val="11"/>
        <rFont val="標楷體"/>
        <family val="4"/>
        <charset val="136"/>
      </rPr>
      <t xml:space="preserve"> 日拋 32片裝 </t>
    </r>
    <r>
      <rPr>
        <b/>
        <sz val="8"/>
        <color rgb="FFFF0000"/>
        <rFont val="標楷體"/>
        <family val="4"/>
        <charset val="136"/>
      </rPr>
      <t xml:space="preserve"> ADD: Type A (+0.75)</t>
    </r>
    <phoneticPr fontId="3" type="noConversion"/>
  </si>
  <si>
    <r>
      <t>實瞳~京櫻</t>
    </r>
    <r>
      <rPr>
        <b/>
        <sz val="11"/>
        <color rgb="FFFF0000"/>
        <rFont val="標楷體"/>
        <family val="4"/>
        <charset val="136"/>
      </rPr>
      <t>雙焦點</t>
    </r>
    <r>
      <rPr>
        <b/>
        <sz val="11"/>
        <rFont val="標楷體"/>
        <family val="4"/>
        <charset val="136"/>
      </rPr>
      <t xml:space="preserve"> 日拋 32片裝  </t>
    </r>
    <r>
      <rPr>
        <b/>
        <sz val="8"/>
        <color rgb="FFFF0000"/>
        <rFont val="標楷體"/>
        <family val="4"/>
        <charset val="136"/>
      </rPr>
      <t>ADD: Type B (+1.50)</t>
    </r>
    <phoneticPr fontId="3" type="noConversion"/>
  </si>
  <si>
    <r>
      <t xml:space="preserve">博士倫彩色日拋-遊樂園 10片裝 ~ 星彩遊行 </t>
    </r>
    <r>
      <rPr>
        <b/>
        <sz val="11"/>
        <color rgb="FFFF0000"/>
        <rFont val="標楷體"/>
        <family val="4"/>
        <charset val="136"/>
      </rPr>
      <t>新!</t>
    </r>
    <phoneticPr fontId="3" type="noConversion"/>
  </si>
  <si>
    <r>
      <t xml:space="preserve">博士倫彩色日拋-遊樂園 10片裝 ~ 閃爍樂園 </t>
    </r>
    <r>
      <rPr>
        <b/>
        <sz val="11"/>
        <color rgb="FFFF0000"/>
        <rFont val="標楷體"/>
        <family val="4"/>
        <charset val="136"/>
      </rPr>
      <t>新!</t>
    </r>
    <phoneticPr fontId="3" type="noConversion"/>
  </si>
  <si>
    <r>
      <t xml:space="preserve">季拋90天配戴彩色散光訂製 1片裝  </t>
    </r>
    <r>
      <rPr>
        <b/>
        <sz val="11"/>
        <rFont val="標楷體"/>
        <family val="4"/>
        <charset val="136"/>
      </rPr>
      <t>雲朵黑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</si>
  <si>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雲朵棕</t>
    </r>
    <phoneticPr fontId="3" type="noConversion"/>
  </si>
  <si>
    <r>
      <t xml:space="preserve">季拋90天配戴彩色散光訂製 1片裝  </t>
    </r>
    <r>
      <rPr>
        <b/>
        <sz val="11"/>
        <color theme="2" tint="-0.749992370372631"/>
        <rFont val="標楷體"/>
        <family val="4"/>
        <charset val="136"/>
      </rPr>
      <t>星晨灰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</si>
  <si>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星晨棕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</si>
  <si>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銀沙棕</t>
    </r>
    <phoneticPr fontId="3" type="noConversion"/>
  </si>
  <si>
    <r>
      <t xml:space="preserve">季拋90天配戴彩色散光訂製 1片裝  </t>
    </r>
    <r>
      <rPr>
        <b/>
        <sz val="11"/>
        <color theme="0" tint="-0.499984740745262"/>
        <rFont val="標楷體"/>
        <family val="4"/>
        <charset val="136"/>
      </rPr>
      <t>銀沙灰</t>
    </r>
    <phoneticPr fontId="3" type="noConversion"/>
  </si>
  <si>
    <t>MIZMI</t>
    <phoneticPr fontId="3" type="noConversion"/>
  </si>
  <si>
    <t>帝康~臻魅彩色日拋 10片裝    臻魅灰</t>
    <phoneticPr fontId="3" type="noConversion"/>
  </si>
  <si>
    <t xml:space="preserve">海昌-心機彩色日拋10片裝~心機琥珀  A </t>
    <phoneticPr fontId="3" type="noConversion"/>
  </si>
  <si>
    <t xml:space="preserve">海昌-心機彩色日拋10片裝~心機珍奶  D </t>
    <phoneticPr fontId="3" type="noConversion"/>
  </si>
  <si>
    <t xml:space="preserve">海昌-心機彩色日拋10片裝~心機布朗  E </t>
    <phoneticPr fontId="3" type="noConversion"/>
  </si>
  <si>
    <t xml:space="preserve"> 參考散光表  </t>
    <phoneticPr fontId="3" type="noConversion"/>
  </si>
  <si>
    <t>買5盒再送1盒.</t>
  </si>
  <si>
    <t>同系列可混色(需同一度數6盒或兩個度數各3盒)</t>
  </si>
  <si>
    <t>永暘光學</t>
    <phoneticPr fontId="3" type="noConversion"/>
  </si>
  <si>
    <t>Lens++ 透明日拋30片裝</t>
    <phoneticPr fontId="3" type="noConversion"/>
  </si>
  <si>
    <t>-1.00~10.00</t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</si>
  <si>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透明日拋30片裝</t>
    </r>
    <phoneticPr fontId="3" type="noConversion"/>
  </si>
  <si>
    <t>Lens++ 彩色日拋10片裝 星環黑</t>
    <phoneticPr fontId="3" type="noConversion"/>
  </si>
  <si>
    <t>Lens++ 彩色日拋10片裝 星環棕</t>
    <phoneticPr fontId="3" type="noConversion"/>
  </si>
  <si>
    <t>0/-1.00~10.00</t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</si>
  <si>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星韻黑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</si>
  <si>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星韻棕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</si>
  <si>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星韻灰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</si>
  <si>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星韻褐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</si>
  <si>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星韻青</t>
    </r>
    <phoneticPr fontId="3" type="noConversion"/>
  </si>
  <si>
    <t>Lens++ 彩色月拋1片裝 星辰黑</t>
    <phoneticPr fontId="3" type="noConversion"/>
  </si>
  <si>
    <t>Lens++ 彩色月拋1片裝 星辰棕</t>
    <phoneticPr fontId="3" type="noConversion"/>
  </si>
  <si>
    <t>Lens++ 彩色月拋1片裝 星辰灰</t>
    <phoneticPr fontId="3" type="noConversion"/>
  </si>
  <si>
    <t>Lens++ 彩色月拋1片裝 星耀灰</t>
    <phoneticPr fontId="3" type="noConversion"/>
  </si>
  <si>
    <t>Lens++ 彩色月拋1片裝 星耀棕</t>
    <phoneticPr fontId="3" type="noConversion"/>
  </si>
  <si>
    <t>美若康-綻美矽水膠彩色 日拋10片裝 星宿巧棕 新!</t>
    <phoneticPr fontId="3" type="noConversion"/>
  </si>
  <si>
    <t>博士倫-奧澈漸進老花日拋 10片裝 Lo建議42~48歲</t>
    <phoneticPr fontId="3" type="noConversion"/>
  </si>
  <si>
    <t>博士倫-奧澈漸進老花日拋 10片裝 Hi建議48歲以上</t>
    <phoneticPr fontId="3" type="noConversion"/>
  </si>
  <si>
    <t xml:space="preserve">睛靈-光影彩色月拋  15.0   1片裝  暗夜黑 </t>
    <phoneticPr fontId="3" type="noConversion"/>
  </si>
  <si>
    <t xml:space="preserve">睛靈-光影彩色月拋  15.0   1片裝  曙光褐 </t>
    <phoneticPr fontId="3" type="noConversion"/>
  </si>
  <si>
    <t xml:space="preserve">睛靈-光影彩色月拋  15.0   1片裝  星空灰 </t>
    <phoneticPr fontId="3" type="noConversion"/>
  </si>
  <si>
    <t xml:space="preserve">睛靈-光影彩色月拋  15.0   1片裝  暮曜金 </t>
    <phoneticPr fontId="3" type="noConversion"/>
  </si>
  <si>
    <t xml:space="preserve">睛靈-光影彩色月拋  15.0   1片裝  雪曜銀 </t>
    <phoneticPr fontId="3" type="noConversion"/>
  </si>
  <si>
    <t xml:space="preserve">酷柏-珂朗清矽水膠散光日拋30片裝 </t>
    <phoneticPr fontId="3" type="noConversion"/>
  </si>
  <si>
    <r>
      <t>美若康-舒活雙效保濕日拋 30片裝  6盒送30片</t>
    </r>
    <r>
      <rPr>
        <b/>
        <sz val="9"/>
        <color rgb="FFFF0000"/>
        <rFont val="標楷體"/>
        <family val="4"/>
        <charset val="136"/>
      </rPr>
      <t xml:space="preserve"> </t>
    </r>
    <phoneticPr fontId="3" type="noConversion"/>
  </si>
  <si>
    <t>6盒送10片</t>
    <phoneticPr fontId="3" type="noConversion"/>
  </si>
  <si>
    <t>(贈片色彩隨機無法指定.贈片為同一度數10片)</t>
    <phoneticPr fontId="3" type="noConversion"/>
  </si>
  <si>
    <t xml:space="preserve">海昌-矽水膠月拋  1片裝      </t>
    <phoneticPr fontId="3" type="noConversion"/>
  </si>
  <si>
    <t>台塑生醫 康視滕濾藍光月拋  2片裝</t>
    <phoneticPr fontId="3" type="noConversion"/>
  </si>
  <si>
    <t>台塑生醫康視騰 透明保濕日拋  10片裝</t>
    <phoneticPr fontId="3" type="noConversion"/>
  </si>
  <si>
    <t>台塑生醫康視騰 透明保濕日拋  30片裝</t>
    <phoneticPr fontId="3" type="noConversion"/>
  </si>
  <si>
    <t>超高透氧月拋</t>
  </si>
  <si>
    <t>高透氧月拋</t>
  </si>
  <si>
    <t>高透氧月拋</t>
    <phoneticPr fontId="3" type="noConversion"/>
  </si>
  <si>
    <r>
      <rPr>
        <sz val="12"/>
        <color indexed="8"/>
        <rFont val="標楷體"/>
        <family val="4"/>
        <charset val="136"/>
      </rPr>
      <t>博士倫 多焦點</t>
    </r>
    <r>
      <rPr>
        <sz val="12"/>
        <color indexed="10"/>
        <rFont val="標楷體"/>
        <family val="4"/>
        <charset val="136"/>
      </rPr>
      <t>老花</t>
    </r>
    <r>
      <rPr>
        <sz val="12"/>
        <color theme="1"/>
        <rFont val="標楷體"/>
        <family val="4"/>
        <charset val="136"/>
      </rPr>
      <t>週拋</t>
    </r>
    <r>
      <rPr>
        <sz val="12"/>
        <color indexed="8"/>
        <rFont val="標楷體"/>
        <family val="4"/>
        <charset val="136"/>
      </rPr>
      <t xml:space="preserve"> 6片裝  LOW   </t>
    </r>
    <r>
      <rPr>
        <sz val="16"/>
        <color rgb="FFFF0000"/>
        <rFont val="標楷體"/>
        <family val="4"/>
        <charset val="136"/>
      </rPr>
      <t>4盒</t>
    </r>
    <phoneticPr fontId="3" type="noConversion"/>
  </si>
  <si>
    <r>
      <rPr>
        <sz val="12"/>
        <color indexed="8"/>
        <rFont val="標楷體"/>
        <family val="4"/>
        <charset val="136"/>
      </rPr>
      <t>博士倫 多焦點</t>
    </r>
    <r>
      <rPr>
        <sz val="12"/>
        <color indexed="10"/>
        <rFont val="標楷體"/>
        <family val="4"/>
        <charset val="136"/>
      </rPr>
      <t>老花</t>
    </r>
    <r>
      <rPr>
        <sz val="12"/>
        <color theme="1"/>
        <rFont val="標楷體"/>
        <family val="4"/>
        <charset val="136"/>
      </rPr>
      <t>週拋</t>
    </r>
    <r>
      <rPr>
        <sz val="12"/>
        <color indexed="8"/>
        <rFont val="標楷體"/>
        <family val="4"/>
        <charset val="136"/>
      </rPr>
      <t xml:space="preserve"> 6片裝  Hi    </t>
    </r>
    <r>
      <rPr>
        <sz val="16"/>
        <color rgb="FFFF0000"/>
        <rFont val="標楷體"/>
        <family val="4"/>
        <charset val="136"/>
      </rPr>
      <t>4盒</t>
    </r>
    <phoneticPr fontId="3" type="noConversion"/>
  </si>
  <si>
    <t>睛靈-濾藍光彩色月拋 15.0  1片裝  念力棕 新</t>
    <phoneticPr fontId="3" type="noConversion"/>
  </si>
  <si>
    <t>睛靈-濾藍光彩色月拋 15.0  1片裝  讀心黑 新</t>
    <phoneticPr fontId="3" type="noConversion"/>
  </si>
  <si>
    <t>睛靈-濾藍光彩色月拋 15.0  1片裝  隱形灰 新</t>
    <phoneticPr fontId="3" type="noConversion"/>
  </si>
  <si>
    <t>睛靈-濾藍光彩色月拋 15.0  1片裝  預知金 新</t>
    <phoneticPr fontId="3" type="noConversion"/>
  </si>
  <si>
    <r>
      <t>睛靈-</t>
    </r>
    <r>
      <rPr>
        <b/>
        <sz val="11"/>
        <color theme="4" tint="-0.249977111117893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透明月拋 </t>
    </r>
    <r>
      <rPr>
        <b/>
        <sz val="16"/>
        <rFont val="標楷體"/>
        <family val="4"/>
        <charset val="136"/>
      </rPr>
      <t xml:space="preserve">2片裝 </t>
    </r>
    <r>
      <rPr>
        <b/>
        <sz val="16"/>
        <color rgb="FFFF0000"/>
        <rFont val="標楷體"/>
        <family val="4"/>
        <charset val="136"/>
      </rPr>
      <t xml:space="preserve"> 新!</t>
    </r>
    <phoneticPr fontId="3" type="noConversion"/>
  </si>
  <si>
    <t>海昌-心機彩色日拋10片裝~心機杏桃  G</t>
    <phoneticPr fontId="3" type="noConversion"/>
  </si>
  <si>
    <t>海昌-心機彩色日拋10片裝~心機香檳  I</t>
    <phoneticPr fontId="3" type="noConversion"/>
  </si>
  <si>
    <t>購買注意此產品拆封不接受任何理由退換貨.</t>
  </si>
  <si>
    <t>海昌-心機彩色日拋10片裝~心機可可  K</t>
    <phoneticPr fontId="3" type="noConversion"/>
  </si>
  <si>
    <t>海昌-心機彩色日拋10片裝~心機抹茶  L</t>
    <phoneticPr fontId="3" type="noConversion"/>
  </si>
  <si>
    <t xml:space="preserve">海昌-心機彩色日拋10片裝~心機藍莓  M </t>
    <phoneticPr fontId="3" type="noConversion"/>
  </si>
  <si>
    <t xml:space="preserve">海昌-純粹氧水潤高透氧日拋  30片裝  </t>
    <phoneticPr fontId="3" type="noConversion"/>
  </si>
  <si>
    <r>
      <t xml:space="preserve">安視優-睛漾日拋30片裝(璀燦啡)  </t>
    </r>
    <r>
      <rPr>
        <b/>
        <i/>
        <sz val="11"/>
        <rFont val="標楷體"/>
        <family val="4"/>
        <charset val="136"/>
      </rPr>
      <t>RS</t>
    </r>
    <r>
      <rPr>
        <b/>
        <sz val="11"/>
        <rFont val="標楷體"/>
        <family val="4"/>
        <charset val="136"/>
      </rPr>
      <t xml:space="preserve">   </t>
    </r>
    <phoneticPr fontId="3" type="noConversion"/>
  </si>
  <si>
    <r>
      <t xml:space="preserve">安視優-睛漾日拋30片裝(璀燦黑)  </t>
    </r>
    <r>
      <rPr>
        <b/>
        <i/>
        <sz val="11"/>
        <rFont val="標楷體"/>
        <family val="4"/>
        <charset val="136"/>
      </rPr>
      <t xml:space="preserve">RC </t>
    </r>
    <phoneticPr fontId="3" type="noConversion"/>
  </si>
  <si>
    <r>
      <t xml:space="preserve">安視優-睛漾日拋30片裝(璀璨褐)  </t>
    </r>
    <r>
      <rPr>
        <b/>
        <i/>
        <sz val="11"/>
        <rFont val="標楷體"/>
        <family val="4"/>
        <charset val="136"/>
      </rPr>
      <t xml:space="preserve">RB  </t>
    </r>
    <r>
      <rPr>
        <b/>
        <sz val="11"/>
        <rFont val="標楷體"/>
        <family val="4"/>
        <charset val="136"/>
      </rPr>
      <t xml:space="preserve">  </t>
    </r>
    <phoneticPr fontId="3" type="noConversion"/>
  </si>
  <si>
    <t xml:space="preserve">安視優-睛漾日拋30片裝(璀璨棕)  RH  </t>
    <phoneticPr fontId="3" type="noConversion"/>
  </si>
  <si>
    <t>安視優-睛漾日拋30片裝(深邃黑)  A</t>
    <phoneticPr fontId="3" type="noConversion"/>
  </si>
  <si>
    <t>安視優-睛漾日拋30片裝(炫閃晶)  N</t>
    <phoneticPr fontId="3" type="noConversion"/>
  </si>
  <si>
    <t>安視優-睛漾日拋30片裝(耀眼棕)  V</t>
    <phoneticPr fontId="3" type="noConversion"/>
  </si>
  <si>
    <t>安視優-雙週拋(弧度8.7)</t>
    <phoneticPr fontId="3" type="noConversion"/>
  </si>
  <si>
    <r>
      <t xml:space="preserve">安視優~歐舒適矽水膠 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 </t>
    </r>
    <r>
      <rPr>
        <b/>
        <sz val="10"/>
        <rFont val="標楷體"/>
        <family val="4"/>
        <charset val="136"/>
      </rPr>
      <t>日拋  30片裝</t>
    </r>
    <phoneticPr fontId="3" type="noConversion"/>
  </si>
  <si>
    <r>
      <t xml:space="preserve">安視優~悅氧 矽水膠 </t>
    </r>
    <r>
      <rPr>
        <b/>
        <sz val="12"/>
        <rFont val="標楷體"/>
        <family val="4"/>
        <charset val="136"/>
      </rPr>
      <t xml:space="preserve">月拋 6片裝   </t>
    </r>
    <phoneticPr fontId="3" type="noConversion"/>
  </si>
  <si>
    <r>
      <t xml:space="preserve">安視優~悅氧 矽水膠 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 </t>
    </r>
    <r>
      <rPr>
        <b/>
        <sz val="10"/>
        <rFont val="標楷體"/>
        <family val="4"/>
        <charset val="136"/>
      </rPr>
      <t xml:space="preserve">月拋 6片裝   </t>
    </r>
    <phoneticPr fontId="3" type="noConversion"/>
  </si>
  <si>
    <r>
      <rPr>
        <b/>
        <sz val="14"/>
        <color rgb="FFFF0000"/>
        <rFont val="標楷體"/>
        <family val="4"/>
        <charset val="136"/>
      </rPr>
      <t>6盒送20片</t>
    </r>
    <r>
      <rPr>
        <b/>
        <sz val="9"/>
        <color rgb="FFFF0000"/>
        <rFont val="標楷體"/>
        <family val="4"/>
        <charset val="136"/>
      </rPr>
      <t>(需同度數6盒或2個度數各3盒)</t>
    </r>
    <r>
      <rPr>
        <b/>
        <sz val="11"/>
        <color rgb="FFFF0000"/>
        <rFont val="標楷體"/>
        <family val="4"/>
        <charset val="136"/>
      </rPr>
      <t>註解</t>
    </r>
    <phoneticPr fontId="3" type="noConversion"/>
  </si>
  <si>
    <r>
      <t>供應度數:-1.00~-9.00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</si>
  <si>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t>供應度數:-1.00~-10.00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</si>
  <si>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</si>
  <si>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rPr>
        <b/>
        <sz val="12"/>
        <color theme="8" tint="-0.249977111117893"/>
        <rFont val="新細明體"/>
        <family val="1"/>
        <charset val="136"/>
      </rPr>
      <t>愛爾康水感散光日拋</t>
    </r>
    <r>
      <rPr>
        <sz val="12"/>
        <rFont val="新細明體"/>
        <family val="1"/>
        <charset val="136"/>
      </rPr>
      <t xml:space="preserve">:30片裝   鏡片弧度:8.5mm  鏡片直徑:14.5mm  </t>
    </r>
    <phoneticPr fontId="3" type="noConversion"/>
  </si>
  <si>
    <t>常備供應軸度:10,20,,160,170,180 其他軸度需客訂</t>
    <phoneticPr fontId="3" type="noConversion"/>
  </si>
  <si>
    <t>供應散光度: 75, 125, 175.225</t>
    <phoneticPr fontId="3" type="noConversion"/>
  </si>
  <si>
    <r>
      <rPr>
        <b/>
        <sz val="12"/>
        <color rgb="FFC00000"/>
        <rFont val="新細明體"/>
        <family val="1"/>
        <charset val="136"/>
      </rPr>
      <t>酷柏珂朗清散光日拋</t>
    </r>
    <r>
      <rPr>
        <sz val="12"/>
        <rFont val="新細明體"/>
        <family val="1"/>
        <charset val="136"/>
      </rPr>
      <t>:30片裝  鏡片弧度:8.6mm  鏡片直徑:14.3mm</t>
    </r>
    <phoneticPr fontId="3" type="noConversion"/>
  </si>
  <si>
    <t>供應散光度: 75, 125, 175</t>
    <phoneticPr fontId="3" type="noConversion"/>
  </si>
  <si>
    <t>供應軸度: 10, 20,30.40.50. 60, 70, 80, 90, 100, 110, 120,130.140.150. 160, 170, 180</t>
    <phoneticPr fontId="3" type="noConversion"/>
  </si>
  <si>
    <t>        散光度225 供應軸度：10, 20, 90, 160, 170, 180</t>
    <phoneticPr fontId="3" type="noConversion"/>
  </si>
  <si>
    <r>
      <t>送一盒(30片)</t>
    </r>
    <r>
      <rPr>
        <b/>
        <sz val="9"/>
        <color rgb="FFFF0000"/>
        <rFont val="標楷體"/>
        <family val="4"/>
        <charset val="136"/>
      </rPr>
      <t>(需同度數6盒或2個度數各3盒)</t>
    </r>
    <r>
      <rPr>
        <b/>
        <sz val="11"/>
        <color rgb="FFFF0000"/>
        <rFont val="標楷體"/>
        <family val="4"/>
        <charset val="136"/>
      </rPr>
      <t>註解</t>
    </r>
    <phoneticPr fontId="3" type="noConversion"/>
  </si>
  <si>
    <t>0.-1.00~-8.00</t>
    <phoneticPr fontId="3" type="noConversion"/>
  </si>
  <si>
    <r>
      <rPr>
        <b/>
        <sz val="12"/>
        <color rgb="FFFF0000"/>
        <rFont val="標楷體"/>
        <family val="4"/>
        <charset val="136"/>
      </rPr>
      <t>博士倫-舒服能日拋30裝</t>
    </r>
    <r>
      <rPr>
        <b/>
        <sz val="18"/>
        <color rgb="FFFF0000"/>
        <rFont val="標楷體"/>
        <family val="4"/>
        <charset val="136"/>
      </rPr>
      <t xml:space="preserve">  8盒</t>
    </r>
    <r>
      <rPr>
        <b/>
        <sz val="8"/>
        <color rgb="FFFF0000"/>
        <rFont val="標楷體"/>
        <family val="4"/>
        <charset val="136"/>
      </rPr>
      <t xml:space="preserve"> </t>
    </r>
    <r>
      <rPr>
        <b/>
        <sz val="10"/>
        <color rgb="FFFF0000"/>
        <rFont val="標楷體"/>
        <family val="4"/>
        <charset val="136"/>
      </rPr>
      <t>(6盒送2盒活動)</t>
    </r>
    <phoneticPr fontId="3" type="noConversion"/>
  </si>
  <si>
    <t>平均一盒478.需同一人.最多2個度數.</t>
    <phoneticPr fontId="3" type="noConversion"/>
  </si>
  <si>
    <r>
      <rPr>
        <b/>
        <sz val="12"/>
        <color rgb="FFFF0000"/>
        <rFont val="標楷體"/>
        <family val="4"/>
        <charset val="136"/>
      </rPr>
      <t xml:space="preserve">博士倫-舒視能日拋  30片裝 </t>
    </r>
    <r>
      <rPr>
        <b/>
        <sz val="14"/>
        <color rgb="FFFF0000"/>
        <rFont val="標楷體"/>
        <family val="4"/>
        <charset val="136"/>
      </rPr>
      <t xml:space="preserve">  </t>
    </r>
    <r>
      <rPr>
        <b/>
        <sz val="16"/>
        <color rgb="FFFF0000"/>
        <rFont val="標楷體"/>
        <family val="4"/>
        <charset val="136"/>
      </rPr>
      <t>6盒</t>
    </r>
    <r>
      <rPr>
        <b/>
        <sz val="14"/>
        <color rgb="FFFF0000"/>
        <rFont val="標楷體"/>
        <family val="4"/>
        <charset val="136"/>
      </rPr>
      <t xml:space="preserve"> </t>
    </r>
    <r>
      <rPr>
        <b/>
        <sz val="10"/>
        <color rgb="FFFF0000"/>
        <rFont val="標楷體"/>
        <family val="4"/>
        <charset val="136"/>
      </rPr>
      <t xml:space="preserve"> (5盒送1盒活動)</t>
    </r>
    <phoneticPr fontId="3" type="noConversion"/>
  </si>
  <si>
    <t>4盒多送2片</t>
    <phoneticPr fontId="3" type="noConversion"/>
  </si>
  <si>
    <t>6盒5400元需同一人.最多2個度數.</t>
    <phoneticPr fontId="3" type="noConversion"/>
  </si>
  <si>
    <t>十方光學</t>
    <phoneticPr fontId="3" type="noConversion"/>
  </si>
  <si>
    <t>博  士  倫</t>
    <phoneticPr fontId="3" type="noConversion"/>
  </si>
  <si>
    <t>星   歐</t>
    <phoneticPr fontId="3" type="noConversion"/>
  </si>
  <si>
    <t>優惠活動請注意各品項註解</t>
    <phoneticPr fontId="3" type="noConversion"/>
  </si>
  <si>
    <r>
      <t>博士倫-輕水氧矽水膠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rFont val="標楷體"/>
        <family val="4"/>
        <charset val="136"/>
      </rPr>
      <t>月拋  3片裝</t>
    </r>
    <phoneticPr fontId="3" type="noConversion"/>
  </si>
  <si>
    <r>
      <t>博士倫-輕水氧矽水膠</t>
    </r>
    <r>
      <rPr>
        <b/>
        <sz val="11"/>
        <color rgb="FF00B050"/>
        <rFont val="標楷體"/>
        <family val="4"/>
        <charset val="136"/>
      </rPr>
      <t>多焦點</t>
    </r>
    <r>
      <rPr>
        <b/>
        <sz val="11"/>
        <rFont val="標楷體"/>
        <family val="4"/>
        <charset val="136"/>
      </rPr>
      <t>月拋 3片裝 LOW</t>
    </r>
    <phoneticPr fontId="3" type="noConversion"/>
  </si>
  <si>
    <r>
      <t>博士倫-輕水氧矽水膠</t>
    </r>
    <r>
      <rPr>
        <b/>
        <sz val="11"/>
        <color rgb="FF00B050"/>
        <rFont val="標楷體"/>
        <family val="4"/>
        <charset val="136"/>
      </rPr>
      <t>多焦點</t>
    </r>
    <r>
      <rPr>
        <b/>
        <sz val="11"/>
        <rFont val="標楷體"/>
        <family val="4"/>
        <charset val="136"/>
      </rPr>
      <t>月拋 3片裝 Hi</t>
    </r>
    <phoneticPr fontId="3" type="noConversion"/>
  </si>
  <si>
    <t>2片送60ML保養液</t>
    <phoneticPr fontId="3" type="noConversion"/>
  </si>
  <si>
    <t>送60ML保養液</t>
    <phoneticPr fontId="3" type="noConversion"/>
  </si>
  <si>
    <r>
      <t xml:space="preserve">愛能視-幻鏡彩色月拋 1片裝  幻境棕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</si>
  <si>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t>0.-1.00~-10.00</t>
    <phoneticPr fontId="3" type="noConversion"/>
  </si>
  <si>
    <r>
      <t xml:space="preserve">愛能視-幻鏡彩色月拋 1片裝  幻境灰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</si>
  <si>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r>
      <t xml:space="preserve">愛能視-幻鏡彩色月拋 1片裝  幻境藍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</si>
  <si>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r>
      <t>博士倫~瑞霖舒潤液</t>
    </r>
    <r>
      <rPr>
        <b/>
        <sz val="14"/>
        <color rgb="FFFF0000"/>
        <rFont val="標楷體"/>
        <family val="4"/>
        <charset val="136"/>
      </rPr>
      <t xml:space="preserve"> 8ml</t>
    </r>
    <phoneticPr fontId="3" type="noConversion"/>
  </si>
  <si>
    <r>
      <t>博士倫-舒視能</t>
    </r>
    <r>
      <rPr>
        <b/>
        <sz val="11"/>
        <color rgb="FF00B050"/>
        <rFont val="標楷體"/>
        <family val="4"/>
        <charset val="136"/>
      </rPr>
      <t>漸進老花</t>
    </r>
    <r>
      <rPr>
        <b/>
        <sz val="11"/>
        <color rgb="FFFF0000"/>
        <rFont val="標楷體"/>
        <family val="4"/>
        <charset val="136"/>
      </rPr>
      <t>日拋30片裝</t>
    </r>
    <r>
      <rPr>
        <b/>
        <sz val="8"/>
        <color rgb="FFFF0000"/>
        <rFont val="標楷體"/>
        <family val="4"/>
        <charset val="136"/>
      </rPr>
      <t>Lo建議42~48歲</t>
    </r>
    <phoneticPr fontId="3" type="noConversion"/>
  </si>
  <si>
    <r>
      <t>博士倫-舒視能</t>
    </r>
    <r>
      <rPr>
        <b/>
        <sz val="11"/>
        <color rgb="FF00B050"/>
        <rFont val="標楷體"/>
        <family val="4"/>
        <charset val="136"/>
      </rPr>
      <t>漸進老花</t>
    </r>
    <r>
      <rPr>
        <b/>
        <sz val="11"/>
        <color rgb="FFFF0000"/>
        <rFont val="標楷體"/>
        <family val="4"/>
        <charset val="136"/>
      </rPr>
      <t>日拋30片裝</t>
    </r>
    <r>
      <rPr>
        <b/>
        <sz val="8"/>
        <color rgb="FFFF0000"/>
        <rFont val="標楷體"/>
        <family val="4"/>
        <charset val="136"/>
      </rPr>
      <t>Hi建議48歲以上</t>
    </r>
    <phoneticPr fontId="3" type="noConversion"/>
  </si>
  <si>
    <t xml:space="preserve">海昌-純粹氧新視界日拋  30片裝 矽水膠 </t>
  </si>
  <si>
    <t>超高透氧月拋</t>
    <phoneticPr fontId="3" type="noConversion"/>
  </si>
  <si>
    <t>台灣精品  愛 能 視</t>
    <phoneticPr fontId="3" type="noConversion"/>
  </si>
  <si>
    <t>買1盒送5片</t>
    <phoneticPr fontId="3" type="noConversion"/>
  </si>
  <si>
    <t>平均一盒388.需同一人.最多2個度數.</t>
    <phoneticPr fontId="3" type="noConversion"/>
  </si>
  <si>
    <r>
      <t>安視優-歐舒適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>雙週拋 6 片裝</t>
    </r>
    <phoneticPr fontId="3" type="noConversion"/>
  </si>
  <si>
    <t>一盒隨機送2片.贈片色彩無法指定</t>
  </si>
  <si>
    <t xml:space="preserve">帝康~光漾瞬間優沛氧矽水膠日拋 20片裝 </t>
    <phoneticPr fontId="3" type="noConversion"/>
  </si>
  <si>
    <t>2盒450元.</t>
  </si>
  <si>
    <t>帝康~視潤多效保養液 120ml</t>
    <phoneticPr fontId="3" type="noConversion"/>
  </si>
  <si>
    <t>6盒組1188元</t>
    <phoneticPr fontId="3" type="noConversion"/>
  </si>
  <si>
    <t>可混色需同一人.最多2個度數.一盒拆條碼或空盒</t>
    <phoneticPr fontId="3" type="noConversion"/>
  </si>
  <si>
    <t>星歐-升級版透明保濕日拋  20盒</t>
    <phoneticPr fontId="3" type="noConversion"/>
  </si>
  <si>
    <t>一盒送5片.6盒送40片.</t>
    <phoneticPr fontId="3" type="noConversion"/>
  </si>
  <si>
    <t xml:space="preserve">帝康~國民非球面日拋  20片裝 </t>
    <phoneticPr fontId="3" type="noConversion"/>
  </si>
  <si>
    <t>812  台新國際商業銀行</t>
    <phoneticPr fontId="3" type="noConversion"/>
  </si>
  <si>
    <r>
      <rPr>
        <b/>
        <sz val="12"/>
        <color rgb="FFFF0000"/>
        <rFont val="標楷體"/>
        <family val="4"/>
        <charset val="136"/>
      </rPr>
      <t>博士倫-舒服能日拋30裝</t>
    </r>
    <r>
      <rPr>
        <b/>
        <sz val="18"/>
        <color rgb="FFFF0000"/>
        <rFont val="標楷體"/>
        <family val="4"/>
        <charset val="136"/>
      </rPr>
      <t xml:space="preserve">  16盒</t>
    </r>
    <phoneticPr fontId="3" type="noConversion"/>
  </si>
  <si>
    <t>平均一盒368.需同一人.最多2個度數.</t>
    <phoneticPr fontId="3" type="noConversion"/>
  </si>
  <si>
    <r>
      <t xml:space="preserve">博士倫彩色日拋-遊樂園 10片裝 ~ 奇幻午夜 </t>
    </r>
    <r>
      <rPr>
        <b/>
        <sz val="11"/>
        <color rgb="FFFF0000"/>
        <rFont val="標楷體"/>
        <family val="4"/>
        <charset val="136"/>
      </rPr>
      <t xml:space="preserve">新!  </t>
    </r>
    <phoneticPr fontId="3" type="noConversion"/>
  </si>
  <si>
    <t>2片250元</t>
    <phoneticPr fontId="3" type="noConversion"/>
  </si>
  <si>
    <t>4盒3800</t>
    <phoneticPr fontId="3" type="noConversion"/>
  </si>
  <si>
    <r>
      <rPr>
        <b/>
        <sz val="14"/>
        <color rgb="FFFF0000"/>
        <rFont val="標楷體"/>
        <family val="4"/>
        <charset val="136"/>
      </rPr>
      <t>加送5片裝2盒.</t>
    </r>
    <r>
      <rPr>
        <b/>
        <sz val="12"/>
        <color rgb="FFFF0000"/>
        <rFont val="標楷體"/>
        <family val="4"/>
        <charset val="136"/>
      </rPr>
      <t xml:space="preserve"> 需同一人.最多2個度數.</t>
    </r>
    <phoneticPr fontId="3" type="noConversion"/>
  </si>
  <si>
    <t>2盒750元+120ml保養液</t>
    <phoneticPr fontId="3" type="noConversion"/>
  </si>
  <si>
    <t>點我.注意註解</t>
    <phoneticPr fontId="3" type="noConversion"/>
  </si>
  <si>
    <r>
      <t xml:space="preserve">LENSME  月拋 2片裝  </t>
    </r>
    <r>
      <rPr>
        <b/>
        <sz val="16"/>
        <color rgb="FFFF0000"/>
        <rFont val="標楷體"/>
        <family val="4"/>
        <charset val="136"/>
      </rPr>
      <t>深紅</t>
    </r>
    <r>
      <rPr>
        <b/>
        <sz val="12"/>
        <color rgb="FFFF0000"/>
        <rFont val="標楷體"/>
        <family val="4"/>
        <charset val="136"/>
      </rPr>
      <t xml:space="preserve"> </t>
    </r>
    <r>
      <rPr>
        <b/>
        <sz val="12"/>
        <rFont val="標楷體"/>
        <family val="4"/>
        <charset val="136"/>
      </rPr>
      <t xml:space="preserve">  </t>
    </r>
    <r>
      <rPr>
        <b/>
        <sz val="12"/>
        <color rgb="FFFF0000"/>
        <rFont val="標楷體"/>
        <family val="4"/>
        <charset val="136"/>
      </rPr>
      <t xml:space="preserve"> 新上市</t>
    </r>
    <phoneticPr fontId="3" type="noConversion"/>
  </si>
  <si>
    <t>亨泰氧視加</t>
    <phoneticPr fontId="3" type="noConversion"/>
  </si>
  <si>
    <t>愛 爾 康</t>
    <phoneticPr fontId="3" type="noConversion"/>
  </si>
  <si>
    <t>浩 視</t>
    <phoneticPr fontId="3" type="noConversion"/>
  </si>
  <si>
    <t>視茂光學  睛靈</t>
    <phoneticPr fontId="3" type="noConversion"/>
  </si>
  <si>
    <t>2片送60ML保養液</t>
    <phoneticPr fontId="3" type="noConversion"/>
  </si>
  <si>
    <t>台 塑 生 醫</t>
    <phoneticPr fontId="3" type="noConversion"/>
  </si>
  <si>
    <r>
      <t>安視優-超涵水</t>
    </r>
    <r>
      <rPr>
        <b/>
        <sz val="14"/>
        <color rgb="FFFF0000"/>
        <rFont val="標楷體"/>
        <family val="4"/>
        <charset val="136"/>
      </rPr>
      <t>散光</t>
    </r>
    <r>
      <rPr>
        <b/>
        <sz val="14"/>
        <rFont val="標楷體"/>
        <family val="4"/>
        <charset val="136"/>
      </rPr>
      <t>日拋30片裝</t>
    </r>
    <phoneticPr fontId="3" type="noConversion"/>
  </si>
  <si>
    <t>BIOVISION彩色日拋 10片裝 微光環棕  新上市</t>
    <phoneticPr fontId="3" type="noConversion"/>
  </si>
  <si>
    <t>BIOVISION彩色日拋 10片裝 琉璃星辰  新上市</t>
    <phoneticPr fontId="3" type="noConversion"/>
  </si>
  <si>
    <t>BIOVISION彩色日拋 10片裝 梧桐深褐  新上市</t>
    <phoneticPr fontId="3" type="noConversion"/>
  </si>
  <si>
    <t>BIOVISION彩色日拋 10片裝 雪松柔棕  新上市</t>
    <phoneticPr fontId="3" type="noConversion"/>
  </si>
  <si>
    <t>BIOVISION彩色日拋 10片裝 冰雪霧灰  新上市</t>
    <phoneticPr fontId="3" type="noConversion"/>
  </si>
  <si>
    <t>BIOVISION彩色日拋 10片裝 星沙可可  新上市</t>
    <phoneticPr fontId="3" type="noConversion"/>
  </si>
  <si>
    <t xml:space="preserve">氧視加-矽水膠日拋  30片裝  </t>
    <phoneticPr fontId="3" type="noConversion"/>
  </si>
  <si>
    <t>柔視多功效保養液   120ml</t>
    <phoneticPr fontId="3" type="noConversion"/>
  </si>
  <si>
    <r>
      <t>海昌~</t>
    </r>
    <r>
      <rPr>
        <b/>
        <sz val="14"/>
        <color rgb="FFFF33CC"/>
        <rFont val="標楷體"/>
        <family val="4"/>
        <charset val="136"/>
      </rPr>
      <t>粉紅玻尿酸</t>
    </r>
    <r>
      <rPr>
        <b/>
        <sz val="14"/>
        <rFont val="標楷體"/>
        <family val="4"/>
        <charset val="136"/>
      </rPr>
      <t xml:space="preserve">保養液 </t>
    </r>
    <r>
      <rPr>
        <b/>
        <sz val="14"/>
        <color rgb="FFFF0000"/>
        <rFont val="標楷體"/>
        <family val="4"/>
        <charset val="136"/>
      </rPr>
      <t>360ml</t>
    </r>
    <phoneticPr fontId="3" type="noConversion"/>
  </si>
  <si>
    <r>
      <t>度數</t>
    </r>
    <r>
      <rPr>
        <b/>
        <sz val="24"/>
        <rFont val="標楷體"/>
        <family val="4"/>
        <charset val="136"/>
      </rPr>
      <t xml:space="preserve"> </t>
    </r>
    <r>
      <rPr>
        <b/>
        <sz val="24"/>
        <color rgb="FFFF0000"/>
        <rFont val="新細明體"/>
        <family val="1"/>
        <charset val="136"/>
      </rPr>
      <t>→</t>
    </r>
    <phoneticPr fontId="3" type="noConversion"/>
  </si>
  <si>
    <t>個人金額</t>
    <phoneticPr fontId="3" type="noConversion"/>
  </si>
  <si>
    <r>
      <t>姓名</t>
    </r>
    <r>
      <rPr>
        <b/>
        <sz val="22"/>
        <rFont val="標楷體"/>
        <family val="4"/>
        <charset val="136"/>
      </rPr>
      <t xml:space="preserve"> </t>
    </r>
    <r>
      <rPr>
        <b/>
        <sz val="22"/>
        <color rgb="FFFF0000"/>
        <rFont val="新細明體"/>
        <family val="1"/>
        <charset val="136"/>
      </rPr>
      <t>→</t>
    </r>
    <phoneticPr fontId="3" type="noConversion"/>
  </si>
  <si>
    <r>
      <t>送50片.</t>
    </r>
    <r>
      <rPr>
        <b/>
        <sz val="12"/>
        <color rgb="FFFF0000"/>
        <rFont val="標楷體"/>
        <family val="4"/>
        <charset val="136"/>
      </rPr>
      <t>需同度數8盒或各4盒</t>
    </r>
    <phoneticPr fontId="3" type="noConversion"/>
  </si>
  <si>
    <t>2盒450元.10盒2100元</t>
    <phoneticPr fontId="3" type="noConversion"/>
  </si>
  <si>
    <t>4盒900元</t>
    <phoneticPr fontId="3" type="noConversion"/>
  </si>
  <si>
    <r>
      <rPr>
        <b/>
        <sz val="12"/>
        <color rgb="FFFFFF00"/>
        <rFont val="標楷體"/>
        <family val="4"/>
        <charset val="136"/>
      </rPr>
      <t>博士倫-輕水氧奧澈日拋30片</t>
    </r>
    <r>
      <rPr>
        <b/>
        <sz val="14"/>
        <color rgb="FFFFFF00"/>
        <rFont val="標楷體"/>
        <family val="4"/>
        <charset val="136"/>
      </rPr>
      <t>裝</t>
    </r>
    <r>
      <rPr>
        <b/>
        <sz val="16"/>
        <color rgb="FFFFFF00"/>
        <rFont val="標楷體"/>
        <family val="4"/>
        <charset val="136"/>
      </rPr>
      <t xml:space="preserve"> 6盒</t>
    </r>
    <r>
      <rPr>
        <b/>
        <sz val="10"/>
        <color rgb="FFFFFF00"/>
        <rFont val="標楷體"/>
        <family val="4"/>
        <charset val="136"/>
      </rPr>
      <t>(5盒送1盒活動)</t>
    </r>
    <phoneticPr fontId="3" type="noConversion"/>
  </si>
  <si>
    <t>一盒隨機送2片.贈片色彩無法指定</t>
    <phoneticPr fontId="3" type="noConversion"/>
  </si>
  <si>
    <t>微醺夜 彩色日拋 10片裝 粉紅佳人</t>
    <phoneticPr fontId="3" type="noConversion"/>
  </si>
  <si>
    <t xml:space="preserve">微醺夜 彩色日拋 10片裝 黛綺莉紫灰 </t>
    <phoneticPr fontId="3" type="noConversion"/>
  </si>
  <si>
    <t>微醺夜 彩色日拋 10片裝 莫希托亞麻</t>
    <phoneticPr fontId="3" type="noConversion"/>
  </si>
  <si>
    <t xml:space="preserve">微醺夜 彩色日拋 10片裝 長島冰茶  </t>
    <phoneticPr fontId="3" type="noConversion"/>
  </si>
  <si>
    <t xml:space="preserve">微醺夜 彩色日拋 10片裝 瑪格麗特  </t>
    <phoneticPr fontId="3" type="noConversion"/>
  </si>
  <si>
    <t>睛靈-ORE晶岩系列彩色日拋 10片裝 琥珀棕  新上市</t>
    <phoneticPr fontId="3" type="noConversion"/>
  </si>
  <si>
    <t>睛靈-ORE晶岩系列彩色日拋 10片裝 兔毛灰  新上市</t>
    <phoneticPr fontId="3" type="noConversion"/>
  </si>
  <si>
    <t>睛靈-ORE晶岩系列彩色日拋 10片裝 茶晶褐  新上市</t>
    <phoneticPr fontId="3" type="noConversion"/>
  </si>
  <si>
    <t>睛靈-ORE晶岩系列彩色日拋 10片裝 天河青  新上市</t>
    <phoneticPr fontId="3" type="noConversion"/>
  </si>
  <si>
    <t>睛靈-ORE晶岩系列彩色日拋 10片裝 坦桑紫  新上市</t>
    <phoneticPr fontId="3" type="noConversion"/>
  </si>
  <si>
    <t>睛靈-ORE晶岩系列彩色日拋 10片裝 堇青藍  新上市</t>
    <phoneticPr fontId="3" type="noConversion"/>
  </si>
  <si>
    <t>愛爾康~愛倍潤保養液  300ml</t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</si>
  <si>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Lo ADD+1.25建議 42~48歲</t>
    </r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</si>
  <si>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MED ADD+2.00建議48~55歲</t>
    </r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</si>
  <si>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HI ADD+2.50建議55歲以上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</si>
  <si>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>Lo ADD+1.25 建議 42~48歲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</si>
  <si>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>MED ADD+2.00 建議48~55歲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</si>
  <si>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>HI ADD+2.50 建議55歲以上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</si>
  <si>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LO ADD+1.25建議42~48歲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</si>
  <si>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MED ADD+2.00建議48~55歲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</si>
  <si>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Hi add+2.50建議55歲以上</t>
    </r>
    <phoneticPr fontId="3" type="noConversion"/>
  </si>
  <si>
    <t>新上市2盒550元</t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</si>
  <si>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星瞳黑</t>
    </r>
    <phoneticPr fontId="3" type="noConversion"/>
  </si>
  <si>
    <t>新上市2盒550元</t>
    <phoneticPr fontId="3" type="noConversion"/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</si>
  <si>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星瞳棕</t>
    </r>
    <phoneticPr fontId="3" type="noConversion"/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</si>
  <si>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星瞳灰</t>
    </r>
    <phoneticPr fontId="3" type="noConversion"/>
  </si>
  <si>
    <t>4盒送全視氧水感日拋10片</t>
    <phoneticPr fontId="3" type="noConversion"/>
  </si>
  <si>
    <r>
      <t xml:space="preserve">2盒送6片.6盒送30片 </t>
    </r>
    <r>
      <rPr>
        <b/>
        <sz val="9"/>
        <color rgb="FFFF0000"/>
        <rFont val="標楷體"/>
        <family val="4"/>
        <charset val="136"/>
      </rPr>
      <t>(同度數</t>
    </r>
    <r>
      <rPr>
        <b/>
        <sz val="8"/>
        <color rgb="FFFF0000"/>
        <rFont val="標楷體"/>
        <family val="4"/>
        <charset val="136"/>
      </rPr>
      <t>6盒或2個度數各3盒)</t>
    </r>
    <phoneticPr fontId="3" type="noConversion"/>
  </si>
  <si>
    <r>
      <t>海昌~</t>
    </r>
    <r>
      <rPr>
        <b/>
        <sz val="14"/>
        <color rgb="FFFF33CC"/>
        <rFont val="標楷體"/>
        <family val="4"/>
        <charset val="136"/>
      </rPr>
      <t>粉紅玻尿酸</t>
    </r>
    <r>
      <rPr>
        <b/>
        <sz val="14"/>
        <rFont val="標楷體"/>
        <family val="4"/>
        <charset val="136"/>
      </rPr>
      <t xml:space="preserve">保養液 </t>
    </r>
    <r>
      <rPr>
        <b/>
        <sz val="14"/>
        <color rgb="FFFF0000"/>
        <rFont val="標楷體"/>
        <family val="4"/>
        <charset val="136"/>
      </rPr>
      <t xml:space="preserve">360ml+10ml舒潤液       </t>
    </r>
    <phoneticPr fontId="3" type="noConversion"/>
  </si>
  <si>
    <t>0.-1.00~-8.00</t>
    <phoneticPr fontId="3" type="noConversion"/>
  </si>
  <si>
    <t>0.-1.00~--7.50</t>
    <phoneticPr fontId="3" type="noConversion"/>
  </si>
  <si>
    <t>星歐-彩色日拋 10片裝  #509 自然棕</t>
    <phoneticPr fontId="3" type="noConversion"/>
  </si>
  <si>
    <t>星歐-彩色日拋 10片裝  #513 自然褐棕</t>
    <phoneticPr fontId="3" type="noConversion"/>
  </si>
  <si>
    <t>星歐-彩色日拋 10片裝  #517自然黑</t>
    <phoneticPr fontId="3" type="noConversion"/>
  </si>
  <si>
    <t xml:space="preserve">星歐-香氛彩色日拋 10片裝 #246 花梨木 粉  </t>
    <phoneticPr fontId="3" type="noConversion"/>
  </si>
  <si>
    <t xml:space="preserve">星歐-香氛彩色日拋 10片裝 #252 鳶尾花 灰  </t>
    <phoneticPr fontId="3" type="noConversion"/>
  </si>
  <si>
    <t xml:space="preserve">星歐-香氛彩色日拋 10片裝 #376 小蒼蘭 棕  </t>
    <phoneticPr fontId="3" type="noConversion"/>
  </si>
  <si>
    <t>星歐-星光彩色日拋10片裝  #273 夏日微光</t>
    <phoneticPr fontId="3" type="noConversion"/>
  </si>
  <si>
    <t xml:space="preserve">星歐-星光彩色日拋10片裝  #342 仲夏之夜 </t>
    <phoneticPr fontId="3" type="noConversion"/>
  </si>
  <si>
    <t>星歐-星光彩色日拋10片裝  #341 午夜星藍</t>
    <phoneticPr fontId="3" type="noConversion"/>
  </si>
  <si>
    <t xml:space="preserve">星歐-彩色月拋 1片裝     #305 氣泡香檳  </t>
    <phoneticPr fontId="3" type="noConversion"/>
  </si>
  <si>
    <t>卡沛兒 彩色日拋 10片裝  #207 釉光灰</t>
    <phoneticPr fontId="3" type="noConversion"/>
  </si>
  <si>
    <t>卡沛兒 彩色日拋 10片裝  #107 釉光紫</t>
    <phoneticPr fontId="3" type="noConversion"/>
  </si>
  <si>
    <t>卡沛兒 彩色日拋 10片裝  #307 釉光棕</t>
    <phoneticPr fontId="3" type="noConversion"/>
  </si>
  <si>
    <t>購買此系列產品請注意.</t>
    <phoneticPr fontId="3" type="noConversion"/>
  </si>
  <si>
    <t>廠商無售後服務或日後退換服務</t>
    <phoneticPr fontId="3" type="noConversion"/>
  </si>
  <si>
    <t>帝康~視潤多效保養液 360ml</t>
    <phoneticPr fontId="3" type="noConversion"/>
  </si>
  <si>
    <t>博士倫~舒視能水漾平衡多效保養液  300ml</t>
    <phoneticPr fontId="3" type="noConversion"/>
  </si>
  <si>
    <r>
      <t>買2盒送珂朗清散光5片體驗.</t>
    </r>
    <r>
      <rPr>
        <b/>
        <sz val="9"/>
        <color rgb="FFFF0000"/>
        <rFont val="標楷體"/>
        <family val="4"/>
        <charset val="136"/>
      </rPr>
      <t>近視-9.00以上除外</t>
    </r>
    <phoneticPr fontId="3" type="noConversion"/>
  </si>
  <si>
    <r>
      <t xml:space="preserve">-1.00~8.00此產品   </t>
    </r>
    <r>
      <rPr>
        <b/>
        <sz val="8"/>
        <color rgb="FFFF0000"/>
        <rFont val="標楷體"/>
        <family val="4"/>
        <charset val="136"/>
      </rPr>
      <t>-0.50一個規格</t>
    </r>
    <r>
      <rPr>
        <b/>
        <sz val="6"/>
        <rFont val="標楷體"/>
        <family val="4"/>
        <charset val="136"/>
      </rPr>
      <t xml:space="preserve">
</t>
    </r>
    <phoneticPr fontId="3" type="noConversion"/>
  </si>
  <si>
    <r>
      <t>安視優-漸進</t>
    </r>
    <r>
      <rPr>
        <b/>
        <sz val="11"/>
        <color rgb="FF00B05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 xml:space="preserve">LOW ADD+1.25 </t>
    </r>
    <r>
      <rPr>
        <b/>
        <sz val="8"/>
        <rFont val="標楷體"/>
        <family val="4"/>
        <charset val="136"/>
      </rPr>
      <t>建議 42~46歲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</si>
  <si>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>30片裝</t>
    </r>
    <r>
      <rPr>
        <b/>
        <sz val="8"/>
        <rFont val="標楷體"/>
        <family val="4"/>
        <charset val="136"/>
      </rPr>
      <t xml:space="preserve"> </t>
    </r>
    <r>
      <rPr>
        <b/>
        <sz val="8"/>
        <color rgb="FFFF0000"/>
        <rFont val="標楷體"/>
        <family val="4"/>
        <charset val="136"/>
      </rPr>
      <t xml:space="preserve">LOW ADD+1.25 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</si>
  <si>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歐舒適極潤日拋</t>
    </r>
    <r>
      <rPr>
        <b/>
        <sz val="11"/>
        <rFont val="標楷體"/>
        <family val="4"/>
        <charset val="136"/>
      </rPr>
      <t>30片裝  弧度8.5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</si>
  <si>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歐舒適極潤日拋</t>
    </r>
    <r>
      <rPr>
        <b/>
        <sz val="11"/>
        <rFont val="標楷體"/>
        <family val="4"/>
        <charset val="136"/>
      </rPr>
      <t>30片裝  弧度9.0</t>
    </r>
    <phoneticPr fontId="3" type="noConversion"/>
  </si>
  <si>
    <t>安視優~超涵水日拋30片裝  弧度8.5</t>
    <phoneticPr fontId="3" type="noConversion"/>
  </si>
  <si>
    <t>安視優-超涵水日拋30片裝  弧度9.0</t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</si>
  <si>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歐舒適日拋</t>
    </r>
    <r>
      <rPr>
        <b/>
        <sz val="11"/>
        <rFont val="標楷體"/>
        <family val="4"/>
        <charset val="136"/>
      </rPr>
      <t xml:space="preserve">30片裝 弧度8.5 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</si>
  <si>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歐舒適日拋</t>
    </r>
    <r>
      <rPr>
        <b/>
        <sz val="11"/>
        <rFont val="標楷體"/>
        <family val="4"/>
        <charset val="136"/>
      </rPr>
      <t xml:space="preserve">30片裝 弧度9.0 </t>
    </r>
    <phoneticPr fontId="3" type="noConversion"/>
  </si>
  <si>
    <t>安視優-歐舒適矽水膠雙週拋6片裝 弧度8.4</t>
    <phoneticPr fontId="3" type="noConversion"/>
  </si>
  <si>
    <t>安視優-歐舒適矽水膠雙週拋6片裝 弧度8.8</t>
    <phoneticPr fontId="3" type="noConversion"/>
  </si>
  <si>
    <r>
      <t>安視優-漸進</t>
    </r>
    <r>
      <rPr>
        <b/>
        <sz val="11"/>
        <color rgb="FF00B05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 xml:space="preserve">MID ADD+1.75 </t>
    </r>
    <r>
      <rPr>
        <b/>
        <sz val="8"/>
        <rFont val="標楷體"/>
        <family val="4"/>
        <charset val="136"/>
      </rPr>
      <t>建議47~55歲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</si>
  <si>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 xml:space="preserve">30片裝 </t>
    </r>
    <r>
      <rPr>
        <b/>
        <sz val="8"/>
        <color rgb="FFFF0000"/>
        <rFont val="標楷體"/>
        <family val="4"/>
        <charset val="136"/>
      </rPr>
      <t>MID ADD+1.75</t>
    </r>
    <phoneticPr fontId="3" type="noConversion"/>
  </si>
  <si>
    <r>
      <t>安視優-漸進</t>
    </r>
    <r>
      <rPr>
        <b/>
        <sz val="11"/>
        <color rgb="FF00B05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 xml:space="preserve">Hi ADD+250 </t>
    </r>
    <r>
      <rPr>
        <b/>
        <sz val="9"/>
        <rFont val="標楷體"/>
        <family val="4"/>
        <charset val="136"/>
      </rPr>
      <t>建議55歲以上</t>
    </r>
    <phoneticPr fontId="3" type="noConversion"/>
  </si>
  <si>
    <r>
      <t>安視優-</t>
    </r>
    <r>
      <rPr>
        <b/>
        <sz val="14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 xml:space="preserve">30片裝 </t>
    </r>
    <r>
      <rPr>
        <b/>
        <sz val="8"/>
        <color rgb="FFFF0000"/>
        <rFont val="標楷體"/>
        <family val="4"/>
        <charset val="136"/>
      </rPr>
      <t>Hi ADD+250</t>
    </r>
    <phoneticPr fontId="3" type="noConversion"/>
  </si>
  <si>
    <t>買1盒送1盒</t>
    <phoneticPr fontId="3" type="noConversion"/>
  </si>
  <si>
    <t xml:space="preserve">愛能視-幻鏡彩色日拋 10片裝  暮光棕  新上市  </t>
    <phoneticPr fontId="3" type="noConversion"/>
  </si>
  <si>
    <t xml:space="preserve">愛能視-幻鏡彩色日拋 10片裝  晨曦棕  新上市  </t>
    <phoneticPr fontId="3" type="noConversion"/>
  </si>
  <si>
    <t xml:space="preserve">愛能視-幻鏡彩色日拋 10片裝  迷幻灰  新上市  </t>
    <phoneticPr fontId="3" type="noConversion"/>
  </si>
  <si>
    <t>海昌-純粹氧水潤矽水膠彩色日拋10片裝 純粹棕 P1</t>
    <phoneticPr fontId="3" type="noConversion"/>
  </si>
  <si>
    <t>海昌-純粹氧水潤矽水膠彩色日拋10片裝 純粹可可 P2</t>
    <phoneticPr fontId="3" type="noConversion"/>
  </si>
  <si>
    <t>海昌-純粹氧水潤矽水膠彩色日拋10片裝 純粹黑 P3</t>
    <phoneticPr fontId="3" type="noConversion"/>
  </si>
  <si>
    <t>海昌-純粹氧水潤矽水膠彩色日拋10片裝 純粹灰 P4</t>
    <phoneticPr fontId="3" type="noConversion"/>
  </si>
  <si>
    <t>愛能視-水涵亮矽水膠日拋  30片裝   新上市</t>
    <phoneticPr fontId="3" type="noConversion"/>
  </si>
  <si>
    <t>4盒3800元</t>
    <phoneticPr fontId="3" type="noConversion"/>
  </si>
  <si>
    <t>4盒6800</t>
    <phoneticPr fontId="3" type="noConversion"/>
  </si>
  <si>
    <t>4盒6800</t>
    <phoneticPr fontId="3" type="noConversion"/>
  </si>
  <si>
    <t>愛爾康-全涵氧水梯散光日拋30片裝  新上市</t>
    <phoneticPr fontId="3" type="noConversion"/>
  </si>
  <si>
    <t>優 視 達</t>
    <phoneticPr fontId="3" type="noConversion"/>
  </si>
  <si>
    <r>
      <t>海昌-</t>
    </r>
    <r>
      <rPr>
        <b/>
        <sz val="16"/>
        <color rgb="FF0000FF"/>
        <rFont val="標楷體"/>
        <family val="4"/>
        <charset val="136"/>
      </rPr>
      <t xml:space="preserve">003薄透氧 </t>
    </r>
    <r>
      <rPr>
        <b/>
        <sz val="16"/>
        <rFont val="標楷體"/>
        <family val="4"/>
        <charset val="136"/>
      </rPr>
      <t xml:space="preserve">日拋  10片裝      </t>
    </r>
    <phoneticPr fontId="3" type="noConversion"/>
  </si>
  <si>
    <t>-1.00~-10.00</t>
    <phoneticPr fontId="3" type="noConversion"/>
  </si>
  <si>
    <t xml:space="preserve">睛靈-睛靈親水保濕日拋 20片裝  </t>
    <phoneticPr fontId="3" type="noConversion"/>
  </si>
  <si>
    <r>
      <t xml:space="preserve">星歐-彩色月拋 1片裝     #306 格雷伯爵 </t>
    </r>
    <r>
      <rPr>
        <b/>
        <sz val="12"/>
        <color rgb="FFFF0000"/>
        <rFont val="標楷體"/>
        <family val="4"/>
        <charset val="136"/>
      </rPr>
      <t xml:space="preserve"> </t>
    </r>
    <phoneticPr fontId="3" type="noConversion"/>
  </si>
  <si>
    <t>星歐-cosplay彩色日拋 2片裝 綠琉璃</t>
    <phoneticPr fontId="3" type="noConversion"/>
  </si>
  <si>
    <t>星歐-cosplay彩色日拋 2片裝 黃琉璃</t>
    <phoneticPr fontId="3" type="noConversion"/>
  </si>
  <si>
    <t>星歐-cosplay彩色日拋 2片裝 紅琉璃</t>
    <phoneticPr fontId="3" type="noConversion"/>
  </si>
  <si>
    <r>
      <t xml:space="preserve">卡沛兒 透明長效保濕日拋 30片裝 </t>
    </r>
    <r>
      <rPr>
        <b/>
        <sz val="18"/>
        <color rgb="FFFF0000"/>
        <rFont val="標楷體"/>
        <family val="4"/>
        <charset val="136"/>
      </rPr>
      <t xml:space="preserve"> 8盒</t>
    </r>
    <phoneticPr fontId="3" type="noConversion"/>
  </si>
  <si>
    <t>韓國原裝進口 G&amp;G</t>
    <phoneticPr fontId="3" type="noConversion"/>
  </si>
  <si>
    <t>0.00/-1.00~-8.00</t>
    <phoneticPr fontId="3" type="noConversion"/>
  </si>
  <si>
    <t>G&amp;G~光羽美瞳月拋 1片裝   晨光灰  H02R</t>
    <phoneticPr fontId="3" type="noConversion"/>
  </si>
  <si>
    <t>G&amp;G~光羽美瞳月拋 1片裝   暮光棕  H02F</t>
    <phoneticPr fontId="3" type="noConversion"/>
  </si>
  <si>
    <t>G&amp;G~光羽美瞳月拋 1片裝   冰晶灰  H03R</t>
    <phoneticPr fontId="3" type="noConversion"/>
  </si>
  <si>
    <t>G&amp;G~光羽美瞳月拋 1片裝   鉑金棕  H03F</t>
    <phoneticPr fontId="3" type="noConversion"/>
  </si>
  <si>
    <t>G&amp;G~夢幻美瞳月拋 1片裝   水舞棕  C3F</t>
    <phoneticPr fontId="3" type="noConversion"/>
  </si>
  <si>
    <t>G&amp;G~夢幻美瞳月拋 1片裝   水舞灰  C3R</t>
    <phoneticPr fontId="3" type="noConversion"/>
  </si>
  <si>
    <t>G&amp;G~夢幻美瞳月拋 1片裝   雪花棕  G2F</t>
    <phoneticPr fontId="3" type="noConversion"/>
  </si>
  <si>
    <t>G&amp;G~夢幻美瞳月拋 1片裝   雪花灰  G2R</t>
    <phoneticPr fontId="3" type="noConversion"/>
  </si>
  <si>
    <t>G&amp;G~夢幻美瞳月拋 1片裝   蕾絲棕  Q1F</t>
    <phoneticPr fontId="3" type="noConversion"/>
  </si>
  <si>
    <t>G&amp;G~夢幻美瞳月拋 1片裝   蕾絲黑  Q1A</t>
    <phoneticPr fontId="3" type="noConversion"/>
  </si>
  <si>
    <t>G&amp;G~混血美瞳月拋 1片裝  安琪拉棕 PD2F</t>
    <phoneticPr fontId="3" type="noConversion"/>
  </si>
  <si>
    <t>G&amp;G~混血美瞳月拋 1片裝  安琪拉灰 PD2R</t>
    <phoneticPr fontId="3" type="noConversion"/>
  </si>
  <si>
    <t>G&amp;G~混血美瞳月拋 1片裝  安琪拉藍 PD2B</t>
    <phoneticPr fontId="3" type="noConversion"/>
  </si>
  <si>
    <t>G&amp;G~混血美瞳月拋 1片裝  安琪拉紫 PD2V</t>
    <phoneticPr fontId="3" type="noConversion"/>
  </si>
  <si>
    <t>G&amp;G~混血美瞳月拋 1片裝  安琪拉綠 PD2G</t>
    <phoneticPr fontId="3" type="noConversion"/>
  </si>
  <si>
    <t>G&amp;G~混血美瞳月拋 1片裝  安琪拉橙 PD2K</t>
    <phoneticPr fontId="3" type="noConversion"/>
  </si>
  <si>
    <t>G&amp;G~愛萌美瞳月拋 1片裝  星葵棕   E6F</t>
    <phoneticPr fontId="3" type="noConversion"/>
  </si>
  <si>
    <t>G&amp;G~愛萌美瞳月拋 1片裝  星葵灰   E6R</t>
    <phoneticPr fontId="3" type="noConversion"/>
  </si>
  <si>
    <t>G&amp;G~愛萌美瞳月拋 1片裝  甜心棕   E7F</t>
    <phoneticPr fontId="3" type="noConversion"/>
  </si>
  <si>
    <t>G&amp;G~愛萌美瞳月拋 1片裝  甜心灰   E7R</t>
    <phoneticPr fontId="3" type="noConversion"/>
  </si>
  <si>
    <r>
      <t>酷柏-佰視明矽水膠</t>
    </r>
    <r>
      <rPr>
        <b/>
        <sz val="14"/>
        <color rgb="FFFF0000"/>
        <rFont val="標楷體"/>
        <family val="4"/>
        <charset val="136"/>
      </rPr>
      <t>散光</t>
    </r>
    <r>
      <rPr>
        <b/>
        <sz val="14"/>
        <rFont val="標楷體"/>
        <family val="4"/>
        <charset val="136"/>
      </rPr>
      <t>月拋  3片裝</t>
    </r>
    <phoneticPr fontId="3" type="noConversion"/>
  </si>
  <si>
    <t xml:space="preserve">海昌-003薄透氧 日拋  30片裝      </t>
    <phoneticPr fontId="3" type="noConversion"/>
  </si>
  <si>
    <t>安視優-睛漾 花眸系列10片裝  璀璨星空 RT</t>
    <phoneticPr fontId="3" type="noConversion"/>
  </si>
  <si>
    <t>安視優-睛漾 花眸系列10片裝  璀璨摩卡 MS</t>
    <phoneticPr fontId="3" type="noConversion"/>
  </si>
  <si>
    <r>
      <rPr>
        <b/>
        <sz val="26"/>
        <color rgb="FFFF0000"/>
        <rFont val="標楷體"/>
        <family val="4"/>
        <charset val="136"/>
      </rPr>
      <t xml:space="preserve">彩色片市佔率第一    </t>
    </r>
    <r>
      <rPr>
        <b/>
        <sz val="26"/>
        <color rgb="FF7030A0"/>
        <rFont val="標楷體"/>
        <family val="4"/>
        <charset val="136"/>
      </rPr>
      <t>海    昌</t>
    </r>
    <phoneticPr fontId="3" type="noConversion"/>
  </si>
  <si>
    <t>O  P  T</t>
    <phoneticPr fontId="3" type="noConversion"/>
  </si>
  <si>
    <t>OPT-PURE淨透潤透明日拋  30片裝</t>
    <phoneticPr fontId="3" type="noConversion"/>
  </si>
  <si>
    <t>OPT-全透漾矽水膠日拋    30片裝</t>
    <phoneticPr fontId="3" type="noConversion"/>
  </si>
  <si>
    <t>OPT-彩色日拋 10片裝  ~塩雪烏龍</t>
    <phoneticPr fontId="3" type="noConversion"/>
  </si>
  <si>
    <t>OPT-彩色日拋 10片裝  ~塩雪白露</t>
    <phoneticPr fontId="3" type="noConversion"/>
  </si>
  <si>
    <t>OPT-彩色日拋 10片裝  ~炭焙伯爵</t>
    <phoneticPr fontId="3" type="noConversion"/>
  </si>
  <si>
    <t>OPT-彩色日拋 10片裝  ~米爾棕</t>
    <phoneticPr fontId="3" type="noConversion"/>
  </si>
  <si>
    <t>OPT-彩色日拋 10片裝  ~謐光栗</t>
    <phoneticPr fontId="3" type="noConversion"/>
  </si>
  <si>
    <t>OPT-彩色日拋 10片裝  ~赫拉棕</t>
    <phoneticPr fontId="3" type="noConversion"/>
  </si>
  <si>
    <t>OPT-彩色日拋 10片裝  ~尼斯灰</t>
    <phoneticPr fontId="3" type="noConversion"/>
  </si>
  <si>
    <r>
      <t>新上市優惠價.</t>
    </r>
    <r>
      <rPr>
        <b/>
        <sz val="10"/>
        <color rgb="FFFF0000"/>
        <rFont val="標楷體"/>
        <family val="4"/>
        <charset val="136"/>
      </rPr>
      <t>(一般特價250元)</t>
    </r>
    <phoneticPr fontId="3" type="noConversion"/>
  </si>
  <si>
    <t>OPT-彩色月拋 1片裝  ~媞蜜灰</t>
    <phoneticPr fontId="3" type="noConversion"/>
  </si>
  <si>
    <r>
      <t>新上市優惠價.</t>
    </r>
    <r>
      <rPr>
        <b/>
        <sz val="10"/>
        <color rgb="FFFF0000"/>
        <rFont val="標楷體"/>
        <family val="4"/>
        <charset val="136"/>
      </rPr>
      <t>(一般特價125元)</t>
    </r>
    <phoneticPr fontId="3" type="noConversion"/>
  </si>
  <si>
    <t>OPT-彩色月拋 1片裝  ~雅典棕</t>
    <phoneticPr fontId="3" type="noConversion"/>
  </si>
  <si>
    <t>OPT-彩色月拋 1片裝  ~鉑金灰</t>
    <phoneticPr fontId="3" type="noConversion"/>
  </si>
  <si>
    <t>OPT-彩色月拋 1片裝  ~米爾棕</t>
    <phoneticPr fontId="3" type="noConversion"/>
  </si>
  <si>
    <t>OPT-彩色月拋 1片裝  ~謐光栗</t>
    <phoneticPr fontId="3" type="noConversion"/>
  </si>
  <si>
    <t>OPT-彩色月拋 1片裝  ~約卡灰</t>
    <phoneticPr fontId="3" type="noConversion"/>
  </si>
  <si>
    <t>OPT-彩色月拋 1片裝  ~爾本藍</t>
    <phoneticPr fontId="3" type="noConversion"/>
  </si>
  <si>
    <t>OPT-彩色月拋 1片裝  ~薄霧灰</t>
    <phoneticPr fontId="3" type="noConversion"/>
  </si>
  <si>
    <r>
      <t>新上市2盒450元</t>
    </r>
    <r>
      <rPr>
        <b/>
        <sz val="9"/>
        <color rgb="FFFF0000"/>
        <rFont val="標楷體"/>
        <family val="4"/>
        <charset val="136"/>
      </rPr>
      <t>(一般特價1盒299元)</t>
    </r>
    <phoneticPr fontId="3" type="noConversion"/>
  </si>
  <si>
    <t>odd I's -彩色日拋 10片裝  ~柔和棕</t>
    <phoneticPr fontId="3" type="noConversion"/>
  </si>
  <si>
    <t>odd I's -彩色日拋 10片裝  ~柔和灰</t>
    <phoneticPr fontId="3" type="noConversion"/>
  </si>
  <si>
    <t>odd I's -彩色月拋  1片裝  ~清晰灰</t>
    <phoneticPr fontId="3" type="noConversion"/>
  </si>
  <si>
    <t>odd I's -彩色月拋  1片裝  ~純粹淺棕</t>
    <phoneticPr fontId="3" type="noConversion"/>
  </si>
  <si>
    <t>odd I's -彩色月拋  1片裝  ~純粹亮灰</t>
    <phoneticPr fontId="3" type="noConversion"/>
  </si>
  <si>
    <t>odd I's -彩色月拋  1片裝  ~純粹深棕</t>
    <phoneticPr fontId="3" type="noConversion"/>
  </si>
  <si>
    <t xml:space="preserve">  odd I's</t>
    <phoneticPr fontId="3" type="noConversion"/>
  </si>
  <si>
    <r>
      <t>新上市優惠價.</t>
    </r>
    <r>
      <rPr>
        <b/>
        <sz val="10"/>
        <color rgb="FFFF0000"/>
        <rFont val="標楷體"/>
        <family val="4"/>
        <charset val="136"/>
      </rPr>
      <t>(一般特價399元)</t>
    </r>
    <phoneticPr fontId="3" type="noConversion"/>
  </si>
  <si>
    <t>OPT-彩色日拋 10片裝  ~凜冽紅顏</t>
    <phoneticPr fontId="3" type="noConversion"/>
  </si>
  <si>
    <t>0.00~-1.00~-8.00</t>
    <phoneticPr fontId="3" type="noConversion"/>
  </si>
  <si>
    <r>
      <t>新上市優惠價.</t>
    </r>
    <r>
      <rPr>
        <b/>
        <sz val="10"/>
        <color rgb="FFFF0000"/>
        <rFont val="標楷體"/>
        <family val="4"/>
        <charset val="136"/>
      </rPr>
      <t>(一般特價190元)</t>
    </r>
    <phoneticPr fontId="3" type="noConversion"/>
  </si>
  <si>
    <t>LENS TOWN</t>
    <phoneticPr fontId="3" type="noConversion"/>
  </si>
  <si>
    <t>LENS TOWN-彩色日拋10片裝~茉莉暮灰</t>
    <phoneticPr fontId="3" type="noConversion"/>
  </si>
  <si>
    <t>LENS TOWN-彩色日拋10片裝~茉莉裸杏</t>
    <phoneticPr fontId="3" type="noConversion"/>
  </si>
  <si>
    <t>LENS TOWN-彩色日拋10片裝~浪漫羅馬灰</t>
    <phoneticPr fontId="3" type="noConversion"/>
  </si>
  <si>
    <t>LENS TOWN-彩色日拋10片裝~浪漫羅馬棕</t>
    <phoneticPr fontId="3" type="noConversion"/>
  </si>
  <si>
    <t>LENS TOWN-彩色日拋10片裝~浪漫東京榛果棕</t>
    <phoneticPr fontId="3" type="noConversion"/>
  </si>
  <si>
    <t>LENS TOWN-彩色日拋10片裝~浪漫東京暖灰</t>
    <phoneticPr fontId="3" type="noConversion"/>
  </si>
  <si>
    <t>LENS TOWN-彩色日拋10片裝~浪漫東京卡其</t>
    <phoneticPr fontId="3" type="noConversion"/>
  </si>
  <si>
    <t>LENS TOWN-彩色日拋10片裝~浪漫東京蜜桃</t>
    <phoneticPr fontId="3" type="noConversion"/>
  </si>
  <si>
    <t>LENS TOWN-彩色月拋 1片裝~可沐棕</t>
    <phoneticPr fontId="3" type="noConversion"/>
  </si>
  <si>
    <t>LENS TOWN-彩色月拋 1片裝~可沐灰</t>
    <phoneticPr fontId="3" type="noConversion"/>
  </si>
  <si>
    <t>LENS TOWN-彩色月拋 1片裝~可沐藍</t>
    <phoneticPr fontId="3" type="noConversion"/>
  </si>
  <si>
    <t>LENS TOWN-彩色月拋 1片裝~沐光灰</t>
    <phoneticPr fontId="3" type="noConversion"/>
  </si>
  <si>
    <t>LENS TOWN-彩色月拋 1片裝~沐光杏</t>
    <phoneticPr fontId="3" type="noConversion"/>
  </si>
  <si>
    <t>LENS TOWN-彩色月拋 1片裝~佩西朵湮灰</t>
    <phoneticPr fontId="3" type="noConversion"/>
  </si>
  <si>
    <t>LENS TOWN-彩色月拋 1片裝~沐西奶茶</t>
    <phoneticPr fontId="3" type="noConversion"/>
  </si>
  <si>
    <t xml:space="preserve">海昌-城市月拋 1片裝~杜拜花園   A3     </t>
    <phoneticPr fontId="3" type="noConversion"/>
  </si>
  <si>
    <r>
      <t xml:space="preserve">海昌-城市月拋 1片裝~首爾咖啡   A4     </t>
    </r>
    <r>
      <rPr>
        <b/>
        <sz val="11"/>
        <color rgb="FFFF0000"/>
        <rFont val="標楷體"/>
        <family val="4"/>
        <charset val="136"/>
      </rPr>
      <t xml:space="preserve"> </t>
    </r>
    <phoneticPr fontId="3" type="noConversion"/>
  </si>
  <si>
    <t xml:space="preserve">海昌-城市月拋 1片裝~劍橋亞麻   A5      </t>
    <phoneticPr fontId="3" type="noConversion"/>
  </si>
  <si>
    <r>
      <rPr>
        <b/>
        <sz val="18"/>
        <color rgb="FFFF0000"/>
        <rFont val="標楷體"/>
        <family val="4"/>
        <charset val="136"/>
      </rPr>
      <t>一盒送5片.</t>
    </r>
    <r>
      <rPr>
        <b/>
        <sz val="11"/>
        <color rgb="FFFF0000"/>
        <rFont val="標楷體"/>
        <family val="4"/>
        <charset val="136"/>
      </rPr>
      <t>請注意註解</t>
    </r>
    <phoneticPr fontId="3" type="noConversion"/>
  </si>
  <si>
    <t>買2盒送1盒.</t>
    <phoneticPr fontId="3" type="noConversion"/>
  </si>
  <si>
    <t>氧視加-銳澈濾藍光日拋  30片裝  新上市</t>
    <phoneticPr fontId="3" type="noConversion"/>
  </si>
  <si>
    <r>
      <t xml:space="preserve">海昌~粉紅濕潤液   </t>
    </r>
    <r>
      <rPr>
        <b/>
        <sz val="14"/>
        <color rgb="FFFF0000"/>
        <rFont val="標楷體"/>
        <family val="4"/>
        <charset val="136"/>
      </rPr>
      <t>10ml</t>
    </r>
    <phoneticPr fontId="3" type="noConversion"/>
  </si>
  <si>
    <t>2瓶300.特別優惠售完止</t>
  </si>
  <si>
    <t>2瓶300.特別優惠售完止</t>
    <phoneticPr fontId="3" type="noConversion"/>
  </si>
  <si>
    <t>8盒6400元</t>
  </si>
  <si>
    <t>8盒6400元</t>
    <phoneticPr fontId="3" type="noConversion"/>
  </si>
  <si>
    <r>
      <t xml:space="preserve">星歐-矽水膠高透氧月拋  1片裝   </t>
    </r>
    <r>
      <rPr>
        <b/>
        <sz val="12"/>
        <color rgb="FFFF0000"/>
        <rFont val="標楷體"/>
        <family val="4"/>
        <charset val="136"/>
      </rPr>
      <t>新上市</t>
    </r>
    <phoneticPr fontId="3" type="noConversion"/>
  </si>
  <si>
    <r>
      <t xml:space="preserve">星歐-香氛彩色日拋 10片裝 #217 海芋      </t>
    </r>
    <r>
      <rPr>
        <b/>
        <sz val="12"/>
        <color rgb="FFFF0000"/>
        <rFont val="標楷體"/>
        <family val="4"/>
        <charset val="136"/>
      </rPr>
      <t>新!</t>
    </r>
    <phoneticPr fontId="3" type="noConversion"/>
  </si>
  <si>
    <r>
      <t xml:space="preserve">星歐-香氛彩色日拋 10片裝 #316 桔梗     </t>
    </r>
    <r>
      <rPr>
        <b/>
        <sz val="12"/>
        <color rgb="FFFF0000"/>
        <rFont val="標楷體"/>
        <family val="4"/>
        <charset val="136"/>
      </rPr>
      <t xml:space="preserve"> 新!</t>
    </r>
    <phoneticPr fontId="3" type="noConversion"/>
  </si>
  <si>
    <r>
      <t xml:space="preserve">星歐-香氛彩色日拋 10片裝 #315 桂花      </t>
    </r>
    <r>
      <rPr>
        <b/>
        <sz val="12"/>
        <color rgb="FFFF0000"/>
        <rFont val="標楷體"/>
        <family val="4"/>
        <charset val="136"/>
      </rPr>
      <t>新!</t>
    </r>
    <phoneticPr fontId="3" type="noConversion"/>
  </si>
  <si>
    <t>新上市買2盒送1盒.12月25止</t>
    <phoneticPr fontId="3" type="noConversion"/>
  </si>
  <si>
    <r>
      <t xml:space="preserve">帝康~光漾瞬間優沛氧矽水膠日拋 20片裝 </t>
    </r>
    <r>
      <rPr>
        <b/>
        <sz val="16"/>
        <color rgb="FFFF0000"/>
        <rFont val="標楷體"/>
        <family val="4"/>
        <charset val="136"/>
      </rPr>
      <t>6盒</t>
    </r>
    <phoneticPr fontId="3" type="noConversion"/>
  </si>
  <si>
    <t>直接最優惠活動均價.免多盒組合.12月25止</t>
    <phoneticPr fontId="3" type="noConversion"/>
  </si>
  <si>
    <r>
      <t>買一盒送2片.6盒送20片</t>
    </r>
    <r>
      <rPr>
        <b/>
        <sz val="9"/>
        <color rgb="FFFF0000"/>
        <rFont val="標楷體"/>
        <family val="4"/>
        <charset val="136"/>
      </rPr>
      <t>(需同度數6盒或2個度數各3盒)</t>
    </r>
    <phoneticPr fontId="3" type="noConversion"/>
  </si>
  <si>
    <r>
      <t xml:space="preserve">MIZMI濾藍光彩色日拋 10片裝 紅色高跟鞋 </t>
    </r>
    <r>
      <rPr>
        <b/>
        <sz val="10"/>
        <rFont val="標楷體"/>
        <family val="4"/>
        <charset val="136"/>
      </rPr>
      <t xml:space="preserve">On a date </t>
    </r>
    <phoneticPr fontId="3" type="noConversion"/>
  </si>
  <si>
    <r>
      <t xml:space="preserve">MIZMI濾藍光彩色日拋 10片裝 女王少女心 </t>
    </r>
    <r>
      <rPr>
        <b/>
        <sz val="10"/>
        <rFont val="標楷體"/>
        <family val="4"/>
        <charset val="136"/>
      </rPr>
      <t xml:space="preserve">Queen girl </t>
    </r>
    <phoneticPr fontId="3" type="noConversion"/>
  </si>
  <si>
    <r>
      <t xml:space="preserve">MIZMI濾藍光彩色日拋 10片裝 咖啡杯唇印 </t>
    </r>
    <r>
      <rPr>
        <b/>
        <sz val="10"/>
        <rFont val="標楷體"/>
        <family val="4"/>
        <charset val="136"/>
      </rPr>
      <t>Coffee time</t>
    </r>
    <phoneticPr fontId="3" type="noConversion"/>
  </si>
  <si>
    <r>
      <t xml:space="preserve">MIZMI濾藍光彩色日拋 10片裝 後花園夕陽 </t>
    </r>
    <r>
      <rPr>
        <b/>
        <sz val="10"/>
        <rFont val="標楷體"/>
        <family val="4"/>
        <charset val="136"/>
      </rPr>
      <t xml:space="preserve">Home cooked </t>
    </r>
    <phoneticPr fontId="3" type="noConversion"/>
  </si>
  <si>
    <r>
      <t xml:space="preserve">MIZMI濾藍光彩色日拋 10片裝 童年的零食 </t>
    </r>
    <r>
      <rPr>
        <b/>
        <sz val="10"/>
        <rFont val="標楷體"/>
        <family val="4"/>
        <charset val="136"/>
      </rPr>
      <t>Memories</t>
    </r>
    <phoneticPr fontId="3" type="noConversion"/>
  </si>
  <si>
    <t>新上市超優惠.買1盒送5片裝.12/25或每度   送完止</t>
    <phoneticPr fontId="3" type="noConversion"/>
  </si>
  <si>
    <t xml:space="preserve">星歐-cosplay彩色日拋 2片裝 藍琉璃  </t>
    <phoneticPr fontId="3" type="noConversion"/>
  </si>
  <si>
    <t>星歐-cosplay彩色日拋 2片裝 雪琉璃 新!</t>
    <phoneticPr fontId="3" type="noConversion"/>
  </si>
  <si>
    <t>星歐-cosplay彩色日拋 2片裝 紫琉璃 新!</t>
    <phoneticPr fontId="3" type="noConversion"/>
  </si>
  <si>
    <t>CHIC! 彩色月拋 206金沙棕 1片裝</t>
    <phoneticPr fontId="3" type="noConversion"/>
  </si>
  <si>
    <t>CHIC! 彩色月拋 208沙漠棕 1片裝</t>
    <phoneticPr fontId="3" type="noConversion"/>
  </si>
  <si>
    <t>CHIC! 彩色月拋 209落日棕 1片裝</t>
    <phoneticPr fontId="3" type="noConversion"/>
  </si>
  <si>
    <t>CHIC! 彩色月拋 210冷冽灰 1片裝</t>
    <phoneticPr fontId="3" type="noConversion"/>
  </si>
  <si>
    <t>CHICOLOR 彩色月拋 104寂靜米 1片裝</t>
    <phoneticPr fontId="3" type="noConversion"/>
  </si>
  <si>
    <t>CHICOLOR 彩色月拋 105冷淡灰 1片裝</t>
    <phoneticPr fontId="3" type="noConversion"/>
  </si>
  <si>
    <t>CHICOLOR 彩色月拋 109寂寞灰 1片裝</t>
    <phoneticPr fontId="3" type="noConversion"/>
  </si>
  <si>
    <t>CHICOLOR 彩色月拋 110清新灰 1片裝</t>
    <phoneticPr fontId="3" type="noConversion"/>
  </si>
  <si>
    <t>CHICOLOR 彩色月拋 111純淨棕 1片裝</t>
    <phoneticPr fontId="3" type="noConversion"/>
  </si>
  <si>
    <t>CHICOLOR 彩色月拋 112迷人棕 1片裝</t>
    <phoneticPr fontId="3" type="noConversion"/>
  </si>
  <si>
    <t>海昌-003博透氧光彩色日拋 10片裝  看見美    01</t>
    <phoneticPr fontId="3" type="noConversion"/>
  </si>
  <si>
    <t>海昌-003博透氧光彩色日拋 10片裝  看見時尚  02</t>
    <phoneticPr fontId="3" type="noConversion"/>
  </si>
  <si>
    <t>海昌-003博透氧光彩色日拋 10片裝  看見星光  03</t>
    <phoneticPr fontId="3" type="noConversion"/>
  </si>
  <si>
    <t>海昌-003博透氧光彩色日拋 10片裝  看見銀河  04</t>
    <phoneticPr fontId="3" type="noConversion"/>
  </si>
  <si>
    <t xml:space="preserve">海昌-百變濾藍光彩色月拋 1片裝~霞光褐    </t>
    <phoneticPr fontId="3" type="noConversion"/>
  </si>
  <si>
    <t xml:space="preserve">海昌-百變濾藍光彩色月拋 1片裝~星河棕    </t>
    <phoneticPr fontId="3" type="noConversion"/>
  </si>
  <si>
    <t xml:space="preserve">海昌-百變濾藍光彩色月拋 1片裝~琉光灰    </t>
    <phoneticPr fontId="3" type="noConversion"/>
  </si>
  <si>
    <t xml:space="preserve">海昌-百變濾藍光彩色月拋 1片裝~百變晶綠  </t>
    <phoneticPr fontId="3" type="noConversion"/>
  </si>
  <si>
    <t xml:space="preserve">海昌-百變濾藍光彩色月拋 1片裝~水光黑    </t>
    <phoneticPr fontId="3" type="noConversion"/>
  </si>
  <si>
    <t xml:space="preserve">海昌-百變濾藍光彩色月拋 1片裝~閃閃星黑   </t>
    <phoneticPr fontId="3" type="noConversion"/>
  </si>
  <si>
    <t>海昌-彩色月拋 1片裝~孔雀之夜   SM6</t>
    <phoneticPr fontId="3" type="noConversion"/>
  </si>
  <si>
    <t>海昌-彩色月拋 1片裝~月光孔雀   SM7</t>
    <phoneticPr fontId="3" type="noConversion"/>
  </si>
  <si>
    <t>海昌-星眸彩色日拋10片裝(星鑽黑)   S1</t>
    <phoneticPr fontId="3" type="noConversion"/>
  </si>
  <si>
    <t>海昌-星眸彩色日拋10片裝(蜜糖棕)   S2</t>
    <phoneticPr fontId="3" type="noConversion"/>
  </si>
  <si>
    <t>海昌-星眸彩色日拋10片裝~大銀河咖  S4</t>
    <phoneticPr fontId="3" type="noConversion"/>
  </si>
  <si>
    <r>
      <t>海昌-星眸彩色日拋10片裝~星鑽澄    S5</t>
    </r>
    <r>
      <rPr>
        <b/>
        <sz val="11"/>
        <color rgb="FFFF0000"/>
        <rFont val="標楷體"/>
        <family val="4"/>
        <charset val="136"/>
      </rPr>
      <t xml:space="preserve"> </t>
    </r>
    <phoneticPr fontId="3" type="noConversion"/>
  </si>
  <si>
    <r>
      <t xml:space="preserve">海昌-星眸彩色日拋10片裝~星鑽褐  </t>
    </r>
    <r>
      <rPr>
        <b/>
        <sz val="11"/>
        <color rgb="FFFF0000"/>
        <rFont val="標楷體"/>
        <family val="4"/>
        <charset val="136"/>
      </rPr>
      <t xml:space="preserve"> </t>
    </r>
    <r>
      <rPr>
        <b/>
        <sz val="11"/>
        <color theme="1"/>
        <rFont val="標楷體"/>
        <family val="4"/>
        <charset val="136"/>
      </rPr>
      <t xml:space="preserve"> S6</t>
    </r>
    <phoneticPr fontId="3" type="noConversion"/>
  </si>
  <si>
    <t>海昌-心機彩色日拋10片裝~心機灰    J</t>
    <phoneticPr fontId="3" type="noConversion"/>
  </si>
  <si>
    <t>海昌-心機彩色日拋10片裝~心機瑪奇朵 H</t>
    <phoneticPr fontId="3" type="noConversion"/>
  </si>
  <si>
    <r>
      <t xml:space="preserve">海昌-城市月拋 1片裝~維也納棕   A13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</si>
  <si>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r>
      <t xml:space="preserve">海昌-城市月拋 1片裝~東京光環   A14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</si>
  <si>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t>海昌-城市月拋 1片裝~羅馬綠     A6</t>
    <phoneticPr fontId="3" type="noConversion"/>
  </si>
  <si>
    <t>海昌-城市月拋 1片裝~希臘澄     A9</t>
    <phoneticPr fontId="3" type="noConversion"/>
  </si>
  <si>
    <t>海昌-城市月拋 1片裝~布拉格夜   A10</t>
    <phoneticPr fontId="3" type="noConversion"/>
  </si>
  <si>
    <t xml:space="preserve">海昌-城市月拋 1片裝~倫敦杏     A8 </t>
    <phoneticPr fontId="3" type="noConversion"/>
  </si>
  <si>
    <t>海昌-城市月拋 1片裝~紐約灰     A7</t>
    <phoneticPr fontId="3" type="noConversion"/>
  </si>
  <si>
    <t>海昌-彩色月拋 1片裝~孔雀棕     SM2</t>
    <phoneticPr fontId="3" type="noConversion"/>
  </si>
  <si>
    <t>海昌-彩色月拋 1片裝~孔雀黑     SM1</t>
    <phoneticPr fontId="3" type="noConversion"/>
  </si>
  <si>
    <t>海昌-彩色月拋 1片裝~孔雀可可   SM3</t>
    <phoneticPr fontId="3" type="noConversion"/>
  </si>
  <si>
    <t xml:space="preserve">2025.11月報價單    </t>
    <phoneticPr fontId="3" type="noConversion"/>
  </si>
  <si>
    <t xml:space="preserve">     優惠活動 2025年11月26日止.</t>
    <phoneticPr fontId="3" type="noConversion"/>
  </si>
  <si>
    <t>0/2.00/3.00/3.50/4.00/4.50/5.00/6.00/7.00/8.00</t>
    <phoneticPr fontId="3" type="noConversion"/>
  </si>
  <si>
    <t>0/2.00/3.00/3.50/4.00/4.50/5.00/6.00/7.00/8.00</t>
    <phoneticPr fontId="3" type="noConversion"/>
  </si>
  <si>
    <t>6盒4800元.需同一人.最多2個度數.</t>
    <phoneticPr fontId="3" type="noConversion"/>
  </si>
  <si>
    <t>5盒$1111 需同一人.最多2個度數</t>
    <phoneticPr fontId="3" type="noConversion"/>
  </si>
  <si>
    <t>買一送一.11/26止</t>
    <phoneticPr fontId="3" type="noConversion"/>
  </si>
  <si>
    <t>-1.00~-9.00</t>
    <phoneticPr fontId="3" type="noConversion"/>
  </si>
  <si>
    <t xml:space="preserve">酷柏-MyDay美怡天矽水膠日拋 30片裝 </t>
    <phoneticPr fontId="3" type="noConversion"/>
  </si>
  <si>
    <t>一盒送5片.10盒加送MyDay美怡天20片</t>
    <phoneticPr fontId="3" type="noConversion"/>
  </si>
  <si>
    <t>一盒送10片</t>
    <phoneticPr fontId="3" type="noConversion"/>
  </si>
  <si>
    <t>一盒送2片</t>
    <phoneticPr fontId="3" type="noConversion"/>
  </si>
  <si>
    <r>
      <t>送30片+10片卡沛兒</t>
    </r>
    <r>
      <rPr>
        <b/>
        <sz val="8"/>
        <color rgb="FFFF0000"/>
        <rFont val="標楷體"/>
        <family val="4"/>
        <charset val="136"/>
      </rPr>
      <t xml:space="preserve">需同一人同度10盒或2個度數各5盒 </t>
    </r>
    <phoneticPr fontId="3" type="noConversion"/>
  </si>
  <si>
    <r>
      <t>送60片+10片卡沛兒</t>
    </r>
    <r>
      <rPr>
        <b/>
        <sz val="8"/>
        <color rgb="FFFF0000"/>
        <rFont val="標楷體"/>
        <family val="4"/>
        <charset val="136"/>
      </rPr>
      <t xml:space="preserve">需同一人同度10盒或2個度數各5盒 </t>
    </r>
    <phoneticPr fontId="3" type="noConversion"/>
  </si>
  <si>
    <t>平均一盒726.需同一人.最多2個度數.</t>
    <phoneticPr fontId="3" type="noConversion"/>
  </si>
  <si>
    <t>6盒多送10片</t>
    <phoneticPr fontId="3" type="noConversion"/>
  </si>
  <si>
    <t>超優惠</t>
    <phoneticPr fontId="3" type="noConversion"/>
  </si>
  <si>
    <t>此系列廠商停產，每度售完止</t>
    <phoneticPr fontId="3" type="noConversion"/>
  </si>
  <si>
    <t>一盒送5片.10盒送50片+20片MyDay美怡天</t>
    <phoneticPr fontId="3" type="noConversion"/>
  </si>
  <si>
    <t>一盒送5片.10盒送50片+20片珂朗清</t>
    <phoneticPr fontId="3" type="noConversion"/>
  </si>
  <si>
    <t>一盒送5片.6盒加送全涵氧10片</t>
    <phoneticPr fontId="3" type="noConversion"/>
  </si>
  <si>
    <t>10片裝體驗價售完止</t>
    <phoneticPr fontId="3" type="noConversion"/>
  </si>
  <si>
    <t>買一盒送5片.售完止</t>
    <phoneticPr fontId="3" type="noConversion"/>
  </si>
  <si>
    <t>數量有限售完止</t>
    <phoneticPr fontId="3" type="noConversion"/>
  </si>
  <si>
    <t>買一瓶送一瓶.數量有限售完止</t>
    <phoneticPr fontId="3" type="noConversion"/>
  </si>
  <si>
    <t>AO~SEPT 雙氧保養液   360ml</t>
    <phoneticPr fontId="3" type="noConversion"/>
  </si>
  <si>
    <t>保    養     液</t>
    <phoneticPr fontId="3" type="noConversion"/>
  </si>
  <si>
    <t>庫存售完止</t>
  </si>
  <si>
    <t>庫存售完止</t>
    <phoneticPr fontId="3" type="noConversion"/>
  </si>
  <si>
    <t>一盒送5片.10盒3700元</t>
    <phoneticPr fontId="3" type="noConversion"/>
  </si>
  <si>
    <r>
      <t>愛爾康-全視氧水感矽水膠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color theme="1"/>
        <rFont val="標楷體"/>
        <family val="4"/>
        <charset val="136"/>
      </rPr>
      <t xml:space="preserve">日拋 30片裝  </t>
    </r>
    <r>
      <rPr>
        <b/>
        <sz val="18"/>
        <color rgb="FFFF0000"/>
        <rFont val="標楷體"/>
        <family val="4"/>
        <charset val="136"/>
      </rPr>
      <t xml:space="preserve"> </t>
    </r>
    <phoneticPr fontId="140" type="noConversion"/>
  </si>
  <si>
    <t>一盒送4片.</t>
    <phoneticPr fontId="3" type="noConversion"/>
  </si>
  <si>
    <t>6盒4800元.需同一人.最多2個度數.</t>
    <phoneticPr fontId="3" type="noConversion"/>
  </si>
  <si>
    <t>4盒5000元.需同一人.最多2個度數.</t>
    <phoneticPr fontId="3" type="noConversion"/>
  </si>
  <si>
    <t>賓士~派克保養液 360ml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</si>
</sst>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76" formatCode="0_);[Red]\(0\)"/>
    <numFmt numFmtId="177" formatCode="&quot;$&quot;#,##0_);[Red]\(&quot;$&quot;#,##0\)"/>
  </numFmts>
  <fonts count="18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8"/>
      <color indexed="81"/>
      <name val="新細明體"/>
      <family val="1"/>
      <charset val="136"/>
    </font>
    <font>
      <b/>
      <sz val="18"/>
      <color indexed="1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12"/>
      <name val="標楷體"/>
      <family val="4"/>
      <charset val="136"/>
    </font>
    <font>
      <b/>
      <sz val="9"/>
      <name val="標楷體"/>
      <family val="4"/>
      <charset val="136"/>
    </font>
    <font>
      <sz val="12"/>
      <color rgb="FF000000"/>
      <name val="PMingLiu"/>
      <family val="1"/>
      <charset val="136"/>
    </font>
    <font>
      <b/>
      <sz val="10"/>
      <color indexed="12"/>
      <name val="細明體"/>
      <family val="3"/>
      <charset val="136"/>
    </font>
    <font>
      <b/>
      <sz val="9"/>
      <color indexed="81"/>
      <name val="細明體"/>
      <family val="3"/>
      <charset val="136"/>
    </font>
    <font>
      <b/>
      <sz val="10"/>
      <color indexed="10"/>
      <name val="細明體"/>
      <family val="3"/>
      <charset val="136"/>
    </font>
    <font>
      <b/>
      <sz val="10"/>
      <color indexed="16"/>
      <name val="細明體"/>
      <family val="3"/>
      <charset val="136"/>
    </font>
    <font>
      <b/>
      <sz val="9"/>
      <color indexed="16"/>
      <name val="細明體"/>
      <family val="3"/>
      <charset val="136"/>
    </font>
    <font>
      <b/>
      <sz val="9"/>
      <color indexed="10"/>
      <name val="細明體"/>
      <family val="3"/>
      <charset val="136"/>
    </font>
    <font>
      <b/>
      <sz val="9"/>
      <color indexed="18"/>
      <name val="細明體"/>
      <family val="3"/>
      <charset val="136"/>
    </font>
    <font>
      <b/>
      <sz val="12"/>
      <color indexed="10"/>
      <name val="細明體"/>
      <family val="3"/>
      <charset val="136"/>
    </font>
    <font>
      <b/>
      <sz val="9"/>
      <color indexed="12"/>
      <name val="細明體"/>
      <family val="3"/>
      <charset val="136"/>
    </font>
    <font>
      <b/>
      <sz val="10"/>
      <color indexed="18"/>
      <name val="細明體"/>
      <family val="3"/>
      <charset val="136"/>
    </font>
    <font>
      <b/>
      <sz val="16"/>
      <color rgb="FFFF0000"/>
      <name val="標楷體"/>
      <family val="4"/>
      <charset val="136"/>
    </font>
    <font>
      <b/>
      <sz val="10"/>
      <color indexed="12"/>
      <name val="新細明體"/>
      <family val="1"/>
      <charset val="136"/>
    </font>
    <font>
      <sz val="11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3" tint="0.3999755851924192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theme="3" tint="0.39997558519241921"/>
      <name val="新細明體"/>
      <family val="1"/>
      <charset val="136"/>
    </font>
    <font>
      <b/>
      <sz val="12"/>
      <color theme="6" tint="-0.249977111117893"/>
      <name val="新細明體"/>
      <family val="1"/>
      <charset val="136"/>
    </font>
    <font>
      <b/>
      <sz val="12"/>
      <color rgb="FF00B050"/>
      <name val="新細明體"/>
      <family val="1"/>
      <charset val="136"/>
    </font>
    <font>
      <b/>
      <sz val="12"/>
      <color theme="8" tint="-0.249977111117893"/>
      <name val="新細明體"/>
      <family val="1"/>
      <charset val="136"/>
    </font>
    <font>
      <b/>
      <sz val="12"/>
      <color theme="8"/>
      <name val="新細明體"/>
      <family val="1"/>
      <charset val="136"/>
    </font>
    <font>
      <b/>
      <sz val="12"/>
      <color theme="6" tint="-0.499984740745262"/>
      <name val="新細明體"/>
      <family val="1"/>
      <charset val="136"/>
    </font>
    <font>
      <sz val="12"/>
      <color rgb="FFC00000"/>
      <name val="新細明體"/>
      <family val="1"/>
      <charset val="136"/>
    </font>
    <font>
      <b/>
      <sz val="12"/>
      <color theme="9" tint="-0.499984740745262"/>
      <name val="新細明體"/>
      <family val="1"/>
      <charset val="136"/>
    </font>
    <font>
      <b/>
      <sz val="12"/>
      <color rgb="FF0070C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8"/>
      <color rgb="FFFF0000"/>
      <name val="新細明體"/>
      <family val="1"/>
      <charset val="136"/>
    </font>
    <font>
      <b/>
      <sz val="12"/>
      <color rgb="FFC00000"/>
      <name val="新細明體"/>
      <family val="1"/>
      <charset val="136"/>
    </font>
    <font>
      <sz val="12"/>
      <color theme="3" tint="-0.249977111117893"/>
      <name val="新細明體"/>
      <family val="1"/>
      <charset val="136"/>
    </font>
    <font>
      <b/>
      <sz val="12"/>
      <color theme="5" tint="-0.249977111117893"/>
      <name val="新細明體"/>
      <family val="1"/>
      <charset val="136"/>
    </font>
    <font>
      <b/>
      <sz val="12"/>
      <color theme="8" tint="-0.499984740745262"/>
      <name val="新細明體"/>
      <family val="1"/>
      <charset val="136"/>
    </font>
    <font>
      <b/>
      <sz val="10"/>
      <color indexed="60"/>
      <name val="細明體"/>
      <family val="3"/>
      <charset val="136"/>
    </font>
    <font>
      <b/>
      <sz val="10"/>
      <color indexed="14"/>
      <name val="細明體"/>
      <family val="3"/>
      <charset val="136"/>
    </font>
    <font>
      <sz val="9"/>
      <color indexed="81"/>
      <name val="Tahoma"/>
      <family val="2"/>
    </font>
    <font>
      <b/>
      <sz val="10"/>
      <color indexed="10"/>
      <name val="新細明體"/>
      <family val="1"/>
      <charset val="136"/>
    </font>
    <font>
      <b/>
      <sz val="10"/>
      <color indexed="39"/>
      <name val="新細明體"/>
      <family val="1"/>
      <charset val="136"/>
    </font>
    <font>
      <b/>
      <sz val="10"/>
      <color indexed="17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0"/>
      <color indexed="39"/>
      <name val="細明體"/>
      <family val="3"/>
      <charset val="136"/>
    </font>
    <font>
      <b/>
      <sz val="10"/>
      <color indexed="16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2"/>
      <color rgb="FFFF0000"/>
      <name val="標楷體"/>
      <family val="4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b/>
      <sz val="11"/>
      <name val="標楷體"/>
      <family val="4"/>
      <charset val="136"/>
    </font>
    <font>
      <b/>
      <sz val="8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z val="12"/>
      <color indexed="10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indexed="10"/>
      <name val="標楷體"/>
      <family val="4"/>
      <charset val="136"/>
    </font>
    <font>
      <b/>
      <sz val="20"/>
      <color rgb="FF7030A0"/>
      <name val="標楷體"/>
      <family val="4"/>
      <charset val="136"/>
    </font>
    <font>
      <b/>
      <sz val="26"/>
      <name val="標楷體"/>
      <family val="4"/>
      <charset val="136"/>
    </font>
    <font>
      <b/>
      <sz val="26"/>
      <color rgb="FF0070C0"/>
      <name val="標楷體"/>
      <family val="4"/>
      <charset val="136"/>
    </font>
    <font>
      <b/>
      <sz val="26"/>
      <color rgb="FF7030A0"/>
      <name val="標楷體"/>
      <family val="4"/>
      <charset val="136"/>
    </font>
    <font>
      <b/>
      <sz val="26"/>
      <color rgb="FFFF0000"/>
      <name val="標楷體"/>
      <family val="4"/>
      <charset val="136"/>
    </font>
    <font>
      <b/>
      <sz val="26"/>
      <color rgb="FF00B050"/>
      <name val="標楷體"/>
      <family val="4"/>
      <charset val="136"/>
    </font>
    <font>
      <sz val="26"/>
      <name val="標楷體"/>
      <family val="4"/>
      <charset val="136"/>
    </font>
    <font>
      <sz val="16"/>
      <name val="標楷體"/>
      <family val="4"/>
      <charset val="136"/>
    </font>
    <font>
      <sz val="9"/>
      <name val="標楷體"/>
      <family val="4"/>
      <charset val="136"/>
    </font>
    <font>
      <b/>
      <sz val="26"/>
      <color rgb="FF0000FF"/>
      <name val="標楷體"/>
      <family val="4"/>
      <charset val="136"/>
    </font>
    <font>
      <b/>
      <sz val="26"/>
      <color rgb="FF7D096F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b/>
      <sz val="8"/>
      <color rgb="FFFF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b/>
      <sz val="1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b/>
      <sz val="12"/>
      <color rgb="FFFFFF00"/>
      <name val="標楷體"/>
      <family val="4"/>
      <charset val="136"/>
    </font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rgb="FFFFFF00"/>
      <name val="標楷體"/>
      <family val="4"/>
      <charset val="136"/>
    </font>
    <font>
      <sz val="16"/>
      <name val="新細明體"/>
      <family val="1"/>
      <charset val="136"/>
    </font>
    <font>
      <sz val="20"/>
      <name val="新細明體"/>
      <family val="1"/>
      <charset val="136"/>
    </font>
    <font>
      <b/>
      <sz val="20"/>
      <name val="新細明體"/>
      <family val="1"/>
      <charset val="136"/>
    </font>
    <font>
      <b/>
      <sz val="18"/>
      <color rgb="FFFF0000"/>
      <name val="標楷體"/>
      <family val="4"/>
      <charset val="136"/>
    </font>
    <font>
      <b/>
      <sz val="22"/>
      <color rgb="FFFF0000"/>
      <name val="標楷體"/>
      <family val="4"/>
      <charset val="136"/>
    </font>
    <font>
      <b/>
      <sz val="11"/>
      <color rgb="FF00B05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4"/>
      <color rgb="FF00B050"/>
      <name val="標楷體"/>
      <family val="4"/>
      <charset val="136"/>
    </font>
    <font>
      <b/>
      <sz val="16"/>
      <color rgb="FFFF33CC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rgb="FFFFFF00"/>
      <name val="標楷體"/>
      <family val="4"/>
      <charset val="136"/>
    </font>
    <font>
      <b/>
      <sz val="8"/>
      <color rgb="FFFFFF00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b/>
      <sz val="14"/>
      <name val="標楷體"/>
      <family val="4"/>
      <charset val="136"/>
    </font>
    <font>
      <sz val="11"/>
      <color rgb="FFFF0000"/>
      <name val="標楷體"/>
      <family val="4"/>
      <charset val="136"/>
    </font>
    <font>
      <sz val="6"/>
      <name val="標楷體"/>
      <family val="4"/>
      <charset val="136"/>
    </font>
    <font>
      <b/>
      <sz val="6"/>
      <color rgb="FFFF0000"/>
      <name val="標楷體"/>
      <family val="4"/>
      <charset val="136"/>
    </font>
    <font>
      <b/>
      <sz val="9"/>
      <color indexed="10"/>
      <name val="新細明體"/>
      <family val="1"/>
      <charset val="136"/>
    </font>
    <font>
      <b/>
      <sz val="6"/>
      <name val="標楷體"/>
      <family val="4"/>
      <charset val="136"/>
    </font>
    <font>
      <b/>
      <sz val="26"/>
      <color rgb="FFFF33CC"/>
      <name val="標楷體"/>
      <family val="4"/>
      <charset val="136"/>
    </font>
    <font>
      <b/>
      <sz val="12"/>
      <name val="新細明體"/>
      <family val="1"/>
      <charset val="136"/>
    </font>
    <font>
      <b/>
      <sz val="11"/>
      <color theme="5" tint="-0.249977111117893"/>
      <name val="標楷體"/>
      <family val="4"/>
      <charset val="136"/>
    </font>
    <font>
      <b/>
      <sz val="12"/>
      <color rgb="FFFF33CC"/>
      <name val="標楷體"/>
      <family val="4"/>
      <charset val="136"/>
    </font>
    <font>
      <b/>
      <sz val="20"/>
      <color rgb="FF00B050"/>
      <name val="標楷體"/>
      <family val="4"/>
      <charset val="136"/>
    </font>
    <font>
      <b/>
      <sz val="9"/>
      <color theme="7" tint="-0.249977111117893"/>
      <name val="標楷體"/>
      <family val="4"/>
      <charset val="136"/>
    </font>
    <font>
      <b/>
      <sz val="9"/>
      <color theme="7" tint="0.3999755851924192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10"/>
      <color indexed="37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26"/>
      <color rgb="FFFF0000"/>
      <name val="新細明體"/>
      <family val="1"/>
      <charset val="136"/>
    </font>
    <font>
      <b/>
      <sz val="11"/>
      <name val="新細明體"/>
      <family val="1"/>
      <charset val="136"/>
    </font>
    <font>
      <b/>
      <sz val="10"/>
      <color rgb="FF0070C0"/>
      <name val="新細明體"/>
      <family val="1"/>
      <charset val="136"/>
    </font>
    <font>
      <b/>
      <sz val="14"/>
      <color rgb="FFFF33CC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i/>
      <sz val="11"/>
      <name val="標楷體"/>
      <family val="4"/>
      <charset val="136"/>
    </font>
    <font>
      <b/>
      <sz val="20"/>
      <color rgb="FFFFFF00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2"/>
      <color rgb="FF00B05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22"/>
      <color rgb="FF00B0F0"/>
      <name val="標楷體"/>
      <family val="4"/>
      <charset val="136"/>
    </font>
    <font>
      <b/>
      <sz val="11"/>
      <color rgb="FF0070C0"/>
      <name val="標楷體"/>
      <family val="4"/>
      <charset val="136"/>
    </font>
    <font>
      <b/>
      <sz val="8"/>
      <color rgb="FF0070C0"/>
      <name val="標楷體"/>
      <family val="4"/>
      <charset val="136"/>
    </font>
    <font>
      <sz val="12"/>
      <color rgb="FF0070C0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b/>
      <sz val="12"/>
      <color rgb="FF002060"/>
      <name val="標楷體"/>
      <family val="4"/>
      <charset val="136"/>
    </font>
    <font>
      <sz val="12"/>
      <color rgb="FF002060"/>
      <name val="標楷體"/>
      <family val="4"/>
      <charset val="136"/>
    </font>
    <font>
      <b/>
      <sz val="14"/>
      <color rgb="FF0070C0"/>
      <name val="標楷體"/>
      <family val="4"/>
      <charset val="136"/>
    </font>
    <font>
      <b/>
      <sz val="18"/>
      <color rgb="FF0070C0"/>
      <name val="標楷體"/>
      <family val="4"/>
      <charset val="136"/>
    </font>
    <font>
      <sz val="12"/>
      <color rgb="FFFFFF00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24"/>
      <color rgb="FFFF0000"/>
      <name val="標楷體"/>
      <family val="4"/>
      <charset val="136"/>
    </font>
    <font>
      <b/>
      <sz val="11"/>
      <color theme="0" tint="-0.499984740745262"/>
      <name val="標楷體"/>
      <family val="4"/>
      <charset val="136"/>
    </font>
    <font>
      <b/>
      <sz val="11"/>
      <color theme="9" tint="-0.499984740745262"/>
      <name val="標楷體"/>
      <family val="4"/>
      <charset val="136"/>
    </font>
    <font>
      <b/>
      <sz val="11"/>
      <color theme="2" tint="-0.749992370372631"/>
      <name val="標楷體"/>
      <family val="4"/>
      <charset val="136"/>
    </font>
    <font>
      <b/>
      <sz val="11"/>
      <color theme="4" tint="-0.249977111117893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0"/>
      <color rgb="FFFF0000"/>
      <name val="新細明體"/>
      <family val="1"/>
      <charset val="136"/>
      <scheme val="major"/>
    </font>
    <font>
      <b/>
      <sz val="11"/>
      <color rgb="FF0000FF"/>
      <name val="標楷體"/>
      <family val="4"/>
      <charset val="136"/>
    </font>
    <font>
      <b/>
      <sz val="11"/>
      <color rgb="FFFFFF00"/>
      <name val="標楷體"/>
      <family val="4"/>
      <charset val="136"/>
    </font>
    <font>
      <b/>
      <sz val="9"/>
      <color indexed="39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0"/>
      <color rgb="FFFFFF00"/>
      <name val="標楷體"/>
      <family val="4"/>
      <charset val="136"/>
    </font>
    <font>
      <b/>
      <sz val="12"/>
      <color indexed="10"/>
      <name val="新細明體"/>
      <family val="1"/>
      <charset val="136"/>
    </font>
    <font>
      <sz val="20"/>
      <name val="標楷體"/>
      <family val="4"/>
      <charset val="136"/>
    </font>
    <font>
      <b/>
      <sz val="22"/>
      <color rgb="FF0000FF"/>
      <name val="標楷體"/>
      <family val="4"/>
      <charset val="136"/>
    </font>
    <font>
      <sz val="14"/>
      <color rgb="FFFFFF00"/>
      <name val="標楷體"/>
      <family val="4"/>
      <charset val="136"/>
    </font>
    <font>
      <b/>
      <sz val="6"/>
      <color rgb="FFFFFF00"/>
      <name val="標楷體"/>
      <family val="4"/>
      <charset val="136"/>
    </font>
    <font>
      <b/>
      <sz val="12"/>
      <color theme="3" tint="0.39997558519241921"/>
      <name val="標楷體"/>
      <family val="4"/>
      <charset val="136"/>
    </font>
    <font>
      <b/>
      <sz val="18"/>
      <color rgb="FFFFFF00"/>
      <name val="標楷體"/>
      <family val="4"/>
      <charset val="136"/>
    </font>
    <font>
      <b/>
      <sz val="16"/>
      <color rgb="FF0000FF"/>
      <name val="標楷體"/>
      <family val="4"/>
      <charset val="136"/>
    </font>
    <font>
      <b/>
      <sz val="22"/>
      <name val="標楷體"/>
      <family val="4"/>
      <charset val="136"/>
    </font>
    <font>
      <b/>
      <sz val="22"/>
      <color rgb="FFFF0000"/>
      <name val="新細明體"/>
      <family val="1"/>
      <charset val="136"/>
    </font>
    <font>
      <b/>
      <sz val="24"/>
      <name val="標楷體"/>
      <family val="4"/>
      <charset val="136"/>
    </font>
    <font>
      <b/>
      <sz val="24"/>
      <color rgb="FFFF0000"/>
      <name val="新細明體"/>
      <family val="1"/>
      <charset val="136"/>
    </font>
    <font>
      <b/>
      <sz val="10"/>
      <color indexed="81"/>
      <name val="新細明體"/>
      <family val="1"/>
      <charset val="136"/>
    </font>
    <font>
      <b/>
      <sz val="24"/>
      <color rgb="FF0000FF"/>
      <name val="標楷體"/>
      <family val="4"/>
      <charset val="136"/>
    </font>
    <font>
      <b/>
      <sz val="22"/>
      <color rgb="FFFFFF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6"/>
      <color rgb="FF00B0F0"/>
      <name val="標楷體"/>
      <family val="4"/>
      <charset val="136"/>
    </font>
    <font>
      <sz val="12"/>
      <color rgb="FF00B0F0"/>
      <name val="標楷體"/>
      <family val="4"/>
      <charset val="136"/>
    </font>
    <font>
      <b/>
      <sz val="6"/>
      <color rgb="FF00B050"/>
      <name val="標楷體"/>
      <family val="4"/>
      <charset val="136"/>
    </font>
    <font>
      <sz val="12"/>
      <color rgb="FF00B050"/>
      <name val="標楷體"/>
      <family val="4"/>
      <charset val="136"/>
    </font>
    <font>
      <b/>
      <sz val="12"/>
      <color rgb="FFFFC000"/>
      <name val="標楷體"/>
      <family val="4"/>
      <charset val="136"/>
    </font>
    <font>
      <b/>
      <sz val="6"/>
      <color rgb="FFFFC000"/>
      <name val="標楷體"/>
      <family val="4"/>
      <charset val="136"/>
    </font>
    <font>
      <sz val="12"/>
      <color rgb="FFFFC000"/>
      <name val="標楷體"/>
      <family val="4"/>
      <charset val="136"/>
    </font>
    <font>
      <b/>
      <sz val="12"/>
      <color theme="0" tint="-0.249977111117893"/>
      <name val="標楷體"/>
      <family val="4"/>
      <charset val="136"/>
    </font>
    <font>
      <b/>
      <sz val="6"/>
      <color theme="0" tint="-0.249977111117893"/>
      <name val="標楷體"/>
      <family val="4"/>
      <charset val="136"/>
    </font>
    <font>
      <sz val="12"/>
      <color theme="0" tint="-0.249977111117893"/>
      <name val="標楷體"/>
      <family val="4"/>
      <charset val="136"/>
    </font>
    <font>
      <b/>
      <sz val="12"/>
      <color rgb="FF8238BA"/>
      <name val="標楷體"/>
      <family val="4"/>
      <charset val="136"/>
    </font>
    <font>
      <b/>
      <sz val="6"/>
      <color rgb="FF8238BA"/>
      <name val="標楷體"/>
      <family val="4"/>
      <charset val="136"/>
    </font>
    <font>
      <sz val="12"/>
      <color rgb="FF8238BA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8"/>
      <color theme="1"/>
      <name val="標楷體"/>
      <family val="4"/>
      <charset val="136"/>
    </font>
  </fonts>
  <fills count="2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CF970"/>
        <bgColor indexed="64"/>
      </patternFill>
    </fill>
    <fill>
      <patternFill patternType="solid">
        <fgColor theme="9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>
      <alignment vertical="center"/>
    </xf>
    <xf numFmtId="0" fontId="12" fillId="0" borderId="0"/>
    <xf numFmtId="0" fontId="54" fillId="0" borderId="0" applyNumberFormat="0" applyFill="0" applyBorder="0" applyAlignment="0" applyProtection="0">
      <alignment vertical="center"/>
    </xf>
    <xf numFmtId="0" fontId="81" fillId="0" borderId="0">
      <alignment vertical="center"/>
    </xf>
    <xf numFmtId="0" fontId="81" fillId="0" borderId="0"/>
    <xf numFmtId="0" fontId="83" fillId="0" borderId="0">
      <alignment vertical="center"/>
    </xf>
    <xf numFmtId="0" fontId="81" fillId="0" borderId="0">
      <alignment vertical="center"/>
    </xf>
    <xf numFmtId="1" fontId="81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81" fillId="0" borderId="0">
      <alignment vertical="center"/>
    </xf>
    <xf numFmtId="0" fontId="1" fillId="0" borderId="0">
      <alignment vertical="center"/>
    </xf>
  </cellStyleXfs>
  <cellXfs count="729">
    <xf numFmtId="0" fontId="0" fillId="0" borderId="0" xfId="0">
      <alignment vertical="center"/>
    </xf>
    <xf numFmtId="0" fontId="0" fillId="10" borderId="7" xfId="0" applyFill="1" applyBorder="1">
      <alignment vertical="center"/>
    </xf>
    <xf numFmtId="0" fontId="0" fillId="10" borderId="4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4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7" xfId="0" applyFill="1" applyBorder="1">
      <alignment vertical="center"/>
    </xf>
    <xf numFmtId="0" fontId="0" fillId="4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2" borderId="2" xfId="0" applyFill="1" applyBorder="1">
      <alignment vertical="center"/>
    </xf>
    <xf numFmtId="0" fontId="0" fillId="12" borderId="7" xfId="0" applyFill="1" applyBorder="1">
      <alignment vertical="center"/>
    </xf>
    <xf numFmtId="0" fontId="0" fillId="12" borderId="4" xfId="0" applyFill="1" applyBorder="1">
      <alignment vertical="center"/>
    </xf>
    <xf numFmtId="0" fontId="7" fillId="14" borderId="0" xfId="0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7" fillId="9" borderId="14" xfId="0" applyFont="1" applyFill="1" applyBorder="1" applyAlignment="1">
      <alignment horizontal="left" vertical="center"/>
    </xf>
    <xf numFmtId="0" fontId="28" fillId="13" borderId="12" xfId="0" applyFont="1" applyFill="1" applyBorder="1" applyAlignment="1">
      <alignment horizontal="left" vertical="center"/>
    </xf>
    <xf numFmtId="0" fontId="28" fillId="13" borderId="13" xfId="0" applyFont="1" applyFill="1" applyBorder="1" applyAlignment="1">
      <alignment horizontal="left" vertical="center"/>
    </xf>
    <xf numFmtId="0" fontId="28" fillId="13" borderId="14" xfId="0" applyFont="1" applyFill="1" applyBorder="1" applyAlignment="1">
      <alignment horizontal="left" vertical="center"/>
    </xf>
    <xf numFmtId="0" fontId="36" fillId="9" borderId="13" xfId="0" applyFont="1" applyFill="1" applyBorder="1" applyAlignment="1">
      <alignment horizontal="left" vertical="center"/>
    </xf>
    <xf numFmtId="0" fontId="36" fillId="13" borderId="13" xfId="0" applyFont="1" applyFill="1" applyBorder="1" applyAlignment="1">
      <alignment horizontal="left" vertical="center"/>
    </xf>
    <xf numFmtId="0" fontId="0" fillId="7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7" borderId="14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26" fillId="11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7" borderId="13" xfId="0" quotePrefix="1" applyFont="1" applyFill="1" applyBorder="1" applyAlignment="1">
      <alignment horizontal="left" vertical="center"/>
    </xf>
    <xf numFmtId="0" fontId="0" fillId="13" borderId="12" xfId="0" applyFill="1" applyBorder="1">
      <alignment vertical="center"/>
    </xf>
    <xf numFmtId="0" fontId="0" fillId="13" borderId="13" xfId="0" applyFill="1" applyBorder="1">
      <alignment vertical="center"/>
    </xf>
    <xf numFmtId="0" fontId="0" fillId="13" borderId="14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8" borderId="12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14" xfId="0" applyFill="1" applyBorder="1">
      <alignment vertical="center"/>
    </xf>
    <xf numFmtId="0" fontId="28" fillId="0" borderId="0" xfId="0" applyFont="1">
      <alignment vertical="center"/>
    </xf>
    <xf numFmtId="0" fontId="26" fillId="10" borderId="13" xfId="0" applyFont="1" applyFill="1" applyBorder="1">
      <alignment vertical="center"/>
    </xf>
    <xf numFmtId="0" fontId="39" fillId="10" borderId="14" xfId="0" applyFont="1" applyFill="1" applyBorder="1">
      <alignment vertical="center"/>
    </xf>
    <xf numFmtId="0" fontId="40" fillId="10" borderId="12" xfId="0" applyFont="1" applyFill="1" applyBorder="1" applyAlignment="1">
      <alignment horizontal="center" vertical="center" wrapText="1"/>
    </xf>
    <xf numFmtId="0" fontId="42" fillId="8" borderId="13" xfId="0" applyFont="1" applyFill="1" applyBorder="1">
      <alignment vertical="center"/>
    </xf>
    <xf numFmtId="0" fontId="36" fillId="10" borderId="7" xfId="0" applyFont="1" applyFill="1" applyBorder="1">
      <alignment vertical="center"/>
    </xf>
    <xf numFmtId="0" fontId="0" fillId="6" borderId="13" xfId="0" applyFill="1" applyBorder="1">
      <alignment vertical="center"/>
    </xf>
    <xf numFmtId="0" fontId="0" fillId="6" borderId="14" xfId="0" applyFill="1" applyBorder="1">
      <alignment vertical="center"/>
    </xf>
    <xf numFmtId="0" fontId="0" fillId="6" borderId="12" xfId="0" applyFill="1" applyBorder="1">
      <alignment vertical="center"/>
    </xf>
    <xf numFmtId="176" fontId="8" fillId="0" borderId="0" xfId="0" applyNumberFormat="1" applyFont="1">
      <alignment vertical="center"/>
    </xf>
    <xf numFmtId="176" fontId="8" fillId="0" borderId="0" xfId="0" applyNumberFormat="1" applyFont="1" applyAlignment="1">
      <alignment vertical="top" wrapText="1"/>
    </xf>
    <xf numFmtId="176" fontId="8" fillId="0" borderId="8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6" fontId="55" fillId="0" borderId="0" xfId="0" applyNumberFormat="1" applyFont="1">
      <alignment vertical="center"/>
    </xf>
    <xf numFmtId="176" fontId="57" fillId="0" borderId="1" xfId="0" applyNumberFormat="1" applyFont="1" applyBorder="1" applyAlignment="1">
      <alignment horizontal="center" vertical="center"/>
    </xf>
    <xf numFmtId="176" fontId="57" fillId="0" borderId="0" xfId="0" applyNumberFormat="1" applyFont="1">
      <alignment vertical="center"/>
    </xf>
    <xf numFmtId="176" fontId="57" fillId="0" borderId="0" xfId="0" applyNumberFormat="1" applyFont="1" applyAlignment="1">
      <alignment horizontal="center" vertical="center"/>
    </xf>
    <xf numFmtId="176" fontId="62" fillId="3" borderId="1" xfId="0" applyNumberFormat="1" applyFont="1" applyFill="1" applyBorder="1" applyAlignment="1">
      <alignment horizontal="center" vertical="center"/>
    </xf>
    <xf numFmtId="176" fontId="62" fillId="3" borderId="5" xfId="0" applyNumberFormat="1" applyFont="1" applyFill="1" applyBorder="1" applyAlignment="1">
      <alignment horizontal="center" vertical="center"/>
    </xf>
    <xf numFmtId="176" fontId="63" fillId="0" borderId="0" xfId="0" applyNumberFormat="1" applyFont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62" fillId="0" borderId="1" xfId="0" applyNumberFormat="1" applyFont="1" applyBorder="1" applyAlignment="1">
      <alignment horizontal="center" vertical="center"/>
    </xf>
    <xf numFmtId="176" fontId="62" fillId="0" borderId="5" xfId="0" applyNumberFormat="1" applyFont="1" applyBorder="1" applyAlignment="1">
      <alignment horizontal="center" vertical="center"/>
    </xf>
    <xf numFmtId="6" fontId="57" fillId="0" borderId="4" xfId="0" applyNumberFormat="1" applyFont="1" applyBorder="1" applyAlignment="1">
      <alignment horizontal="center" vertical="center" wrapText="1"/>
    </xf>
    <xf numFmtId="6" fontId="57" fillId="0" borderId="1" xfId="0" applyNumberFormat="1" applyFont="1" applyBorder="1" applyAlignment="1">
      <alignment horizontal="center" vertical="center"/>
    </xf>
    <xf numFmtId="6" fontId="57" fillId="0" borderId="0" xfId="0" applyNumberFormat="1" applyFont="1">
      <alignment vertical="center"/>
    </xf>
    <xf numFmtId="176" fontId="10" fillId="0" borderId="0" xfId="0" applyNumberFormat="1" applyFont="1" applyAlignment="1">
      <alignment vertical="top" wrapText="1"/>
    </xf>
    <xf numFmtId="176" fontId="10" fillId="0" borderId="0" xfId="0" applyNumberFormat="1" applyFont="1" applyAlignment="1">
      <alignment vertical="top"/>
    </xf>
    <xf numFmtId="176" fontId="10" fillId="0" borderId="0" xfId="0" applyNumberFormat="1" applyFont="1" applyAlignment="1">
      <alignment horizontal="left" vertical="top" wrapText="1"/>
    </xf>
    <xf numFmtId="176" fontId="65" fillId="0" borderId="0" xfId="0" applyNumberFormat="1" applyFont="1" applyAlignment="1">
      <alignment vertical="top"/>
    </xf>
    <xf numFmtId="176" fontId="65" fillId="0" borderId="0" xfId="0" applyNumberFormat="1" applyFont="1" applyAlignment="1">
      <alignment vertical="top" wrapText="1"/>
    </xf>
    <xf numFmtId="176" fontId="70" fillId="0" borderId="0" xfId="0" applyNumberFormat="1" applyFont="1" applyAlignment="1">
      <alignment horizontal="center" vertical="center"/>
    </xf>
    <xf numFmtId="177" fontId="71" fillId="0" borderId="0" xfId="0" applyNumberFormat="1" applyFont="1">
      <alignment vertical="center"/>
    </xf>
    <xf numFmtId="176" fontId="58" fillId="0" borderId="0" xfId="0" applyNumberFormat="1" applyFont="1">
      <alignment vertical="center"/>
    </xf>
    <xf numFmtId="176" fontId="58" fillId="0" borderId="0" xfId="0" applyNumberFormat="1" applyFont="1" applyAlignment="1">
      <alignment vertical="top" wrapText="1"/>
    </xf>
    <xf numFmtId="176" fontId="58" fillId="0" borderId="16" xfId="0" applyNumberFormat="1" applyFont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58" fillId="0" borderId="17" xfId="0" applyNumberFormat="1" applyFont="1" applyBorder="1">
      <alignment vertical="center"/>
    </xf>
    <xf numFmtId="176" fontId="58" fillId="0" borderId="19" xfId="0" applyNumberFormat="1" applyFont="1" applyBorder="1">
      <alignment vertical="center"/>
    </xf>
    <xf numFmtId="176" fontId="58" fillId="0" borderId="25" xfId="0" applyNumberFormat="1" applyFont="1" applyBorder="1">
      <alignment vertical="center"/>
    </xf>
    <xf numFmtId="176" fontId="58" fillId="0" borderId="26" xfId="0" applyNumberFormat="1" applyFont="1" applyBorder="1">
      <alignment vertical="center"/>
    </xf>
    <xf numFmtId="176" fontId="58" fillId="0" borderId="26" xfId="0" applyNumberFormat="1" applyFont="1" applyBorder="1" applyAlignment="1">
      <alignment horizontal="left" vertical="center"/>
    </xf>
    <xf numFmtId="176" fontId="58" fillId="10" borderId="25" xfId="0" applyNumberFormat="1" applyFont="1" applyFill="1" applyBorder="1">
      <alignment vertical="center"/>
    </xf>
    <xf numFmtId="176" fontId="8" fillId="10" borderId="2" xfId="0" applyNumberFormat="1" applyFont="1" applyFill="1" applyBorder="1" applyAlignment="1">
      <alignment horizontal="center" vertical="center"/>
    </xf>
    <xf numFmtId="176" fontId="55" fillId="10" borderId="2" xfId="0" applyNumberFormat="1" applyFont="1" applyFill="1" applyBorder="1" applyAlignment="1">
      <alignment horizontal="center" vertical="center"/>
    </xf>
    <xf numFmtId="176" fontId="58" fillId="10" borderId="19" xfId="0" applyNumberFormat="1" applyFont="1" applyFill="1" applyBorder="1">
      <alignment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55" fillId="10" borderId="1" xfId="0" applyNumberFormat="1" applyFont="1" applyFill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58" fillId="14" borderId="26" xfId="0" applyNumberFormat="1" applyFont="1" applyFill="1" applyBorder="1">
      <alignment vertical="center"/>
    </xf>
    <xf numFmtId="176" fontId="8" fillId="14" borderId="4" xfId="0" applyNumberFormat="1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top"/>
    </xf>
    <xf numFmtId="0" fontId="86" fillId="10" borderId="12" xfId="0" applyFont="1" applyFill="1" applyBorder="1" applyAlignment="1">
      <alignment horizontal="left" vertical="top"/>
    </xf>
    <xf numFmtId="0" fontId="87" fillId="10" borderId="13" xfId="0" applyFont="1" applyFill="1" applyBorder="1" applyAlignment="1">
      <alignment horizontal="left" vertical="top"/>
    </xf>
    <xf numFmtId="176" fontId="57" fillId="10" borderId="1" xfId="0" applyNumberFormat="1" applyFont="1" applyFill="1" applyBorder="1" applyAlignment="1">
      <alignment horizontal="center" vertical="center"/>
    </xf>
    <xf numFmtId="176" fontId="57" fillId="0" borderId="6" xfId="0" applyNumberFormat="1" applyFont="1" applyBorder="1" applyAlignment="1">
      <alignment horizontal="center" vertical="center"/>
    </xf>
    <xf numFmtId="176" fontId="57" fillId="10" borderId="2" xfId="0" applyNumberFormat="1" applyFont="1" applyFill="1" applyBorder="1" applyAlignment="1">
      <alignment horizontal="center" vertical="center"/>
    </xf>
    <xf numFmtId="176" fontId="57" fillId="0" borderId="3" xfId="0" applyNumberFormat="1" applyFont="1" applyBorder="1" applyAlignment="1">
      <alignment horizontal="center" vertical="center"/>
    </xf>
    <xf numFmtId="176" fontId="57" fillId="14" borderId="4" xfId="0" applyNumberFormat="1" applyFont="1" applyFill="1" applyBorder="1" applyAlignment="1">
      <alignment horizontal="center" vertical="center"/>
    </xf>
    <xf numFmtId="176" fontId="57" fillId="0" borderId="0" xfId="0" applyNumberFormat="1" applyFont="1" applyAlignment="1">
      <alignment horizontal="center" vertical="top" wrapText="1"/>
    </xf>
    <xf numFmtId="176" fontId="58" fillId="0" borderId="5" xfId="0" applyNumberFormat="1" applyFont="1" applyBorder="1">
      <alignment vertical="center"/>
    </xf>
    <xf numFmtId="176" fontId="58" fillId="0" borderId="30" xfId="0" applyNumberFormat="1" applyFont="1" applyBorder="1">
      <alignment vertical="center"/>
    </xf>
    <xf numFmtId="176" fontId="94" fillId="14" borderId="19" xfId="0" applyNumberFormat="1" applyFont="1" applyFill="1" applyBorder="1">
      <alignment vertical="center"/>
    </xf>
    <xf numFmtId="176" fontId="8" fillId="0" borderId="36" xfId="0" applyNumberFormat="1" applyFont="1" applyBorder="1" applyAlignment="1">
      <alignment horizontal="center" vertical="center"/>
    </xf>
    <xf numFmtId="176" fontId="57" fillId="14" borderId="1" xfId="0" applyNumberFormat="1" applyFont="1" applyFill="1" applyBorder="1" applyAlignment="1">
      <alignment horizontal="center" vertical="center"/>
    </xf>
    <xf numFmtId="176" fontId="10" fillId="0" borderId="17" xfId="0" applyNumberFormat="1" applyFont="1" applyBorder="1">
      <alignment vertical="center"/>
    </xf>
    <xf numFmtId="176" fontId="10" fillId="0" borderId="19" xfId="0" applyNumberFormat="1" applyFont="1" applyBorder="1">
      <alignment vertical="center"/>
    </xf>
    <xf numFmtId="176" fontId="57" fillId="10" borderId="4" xfId="0" applyNumberFormat="1" applyFont="1" applyFill="1" applyBorder="1" applyAlignment="1">
      <alignment horizontal="center" vertical="center"/>
    </xf>
    <xf numFmtId="176" fontId="8" fillId="10" borderId="4" xfId="0" applyNumberFormat="1" applyFont="1" applyFill="1" applyBorder="1" applyAlignment="1">
      <alignment horizontal="center" vertical="center"/>
    </xf>
    <xf numFmtId="176" fontId="58" fillId="16" borderId="25" xfId="0" applyNumberFormat="1" applyFont="1" applyFill="1" applyBorder="1">
      <alignment vertical="center"/>
    </xf>
    <xf numFmtId="176" fontId="10" fillId="0" borderId="25" xfId="0" applyNumberFormat="1" applyFont="1" applyBorder="1">
      <alignment vertical="center"/>
    </xf>
    <xf numFmtId="176" fontId="58" fillId="18" borderId="25" xfId="0" applyNumberFormat="1" applyFont="1" applyFill="1" applyBorder="1">
      <alignment vertical="center"/>
    </xf>
    <xf numFmtId="176" fontId="93" fillId="0" borderId="37" xfId="0" applyNumberFormat="1" applyFont="1" applyBorder="1" applyAlignment="1">
      <alignment horizontal="center" vertical="center" textRotation="255"/>
    </xf>
    <xf numFmtId="176" fontId="58" fillId="0" borderId="39" xfId="0" applyNumberFormat="1" applyFont="1" applyBorder="1">
      <alignment vertical="center"/>
    </xf>
    <xf numFmtId="176" fontId="8" fillId="17" borderId="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07" fillId="0" borderId="0" xfId="0" applyFont="1">
      <alignment vertical="center"/>
    </xf>
    <xf numFmtId="0" fontId="7" fillId="0" borderId="0" xfId="0" applyFont="1" applyAlignment="1">
      <alignment vertical="center" wrapText="1"/>
    </xf>
    <xf numFmtId="176" fontId="8" fillId="19" borderId="1" xfId="0" applyNumberFormat="1" applyFont="1" applyFill="1" applyBorder="1" applyAlignment="1">
      <alignment horizontal="center" vertical="center"/>
    </xf>
    <xf numFmtId="176" fontId="58" fillId="0" borderId="48" xfId="0" applyNumberFormat="1" applyFont="1" applyBorder="1" applyAlignment="1">
      <alignment horizontal="center" vertical="center"/>
    </xf>
    <xf numFmtId="176" fontId="61" fillId="0" borderId="37" xfId="0" applyNumberFormat="1" applyFont="1" applyBorder="1" applyAlignment="1">
      <alignment horizontal="center" vertical="center"/>
    </xf>
    <xf numFmtId="176" fontId="57" fillId="0" borderId="38" xfId="0" applyNumberFormat="1" applyFont="1" applyBorder="1" applyAlignment="1">
      <alignment horizontal="center" vertical="center"/>
    </xf>
    <xf numFmtId="176" fontId="8" fillId="0" borderId="38" xfId="0" applyNumberFormat="1" applyFont="1" applyBorder="1" applyAlignment="1">
      <alignment horizontal="center" vertical="center"/>
    </xf>
    <xf numFmtId="176" fontId="55" fillId="0" borderId="50" xfId="0" applyNumberFormat="1" applyFont="1" applyBorder="1" applyAlignment="1">
      <alignment horizontal="center" vertical="center"/>
    </xf>
    <xf numFmtId="176" fontId="58" fillId="0" borderId="5" xfId="0" applyNumberFormat="1" applyFont="1" applyBorder="1" applyAlignment="1">
      <alignment horizontal="left" vertical="center"/>
    </xf>
    <xf numFmtId="176" fontId="57" fillId="0" borderId="9" xfId="0" applyNumberFormat="1" applyFont="1" applyBorder="1" applyAlignment="1">
      <alignment horizontal="center" vertical="center"/>
    </xf>
    <xf numFmtId="176" fontId="10" fillId="0" borderId="26" xfId="0" applyNumberFormat="1" applyFont="1" applyBorder="1">
      <alignment vertical="center"/>
    </xf>
    <xf numFmtId="176" fontId="8" fillId="10" borderId="26" xfId="0" applyNumberFormat="1" applyFont="1" applyFill="1" applyBorder="1">
      <alignment vertical="center"/>
    </xf>
    <xf numFmtId="176" fontId="8" fillId="10" borderId="3" xfId="0" applyNumberFormat="1" applyFont="1" applyFill="1" applyBorder="1" applyAlignment="1">
      <alignment horizontal="center" vertical="center"/>
    </xf>
    <xf numFmtId="176" fontId="57" fillId="14" borderId="2" xfId="0" applyNumberFormat="1" applyFont="1" applyFill="1" applyBorder="1" applyAlignment="1">
      <alignment horizontal="center" vertical="center"/>
    </xf>
    <xf numFmtId="176" fontId="78" fillId="0" borderId="19" xfId="0" applyNumberFormat="1" applyFont="1" applyBorder="1" applyAlignment="1">
      <alignment horizontal="left" vertical="center" wrapText="1"/>
    </xf>
    <xf numFmtId="176" fontId="78" fillId="0" borderId="19" xfId="0" applyNumberFormat="1" applyFont="1" applyBorder="1" applyAlignment="1">
      <alignment horizontal="left" vertical="center"/>
    </xf>
    <xf numFmtId="176" fontId="55" fillId="0" borderId="18" xfId="0" applyNumberFormat="1" applyFont="1" applyBorder="1" applyAlignment="1">
      <alignment horizontal="center" vertical="center"/>
    </xf>
    <xf numFmtId="176" fontId="55" fillId="0" borderId="20" xfId="0" applyNumberFormat="1" applyFont="1" applyBorder="1" applyAlignment="1">
      <alignment horizontal="center" vertical="center"/>
    </xf>
    <xf numFmtId="176" fontId="55" fillId="14" borderId="20" xfId="0" applyNumberFormat="1" applyFont="1" applyFill="1" applyBorder="1" applyAlignment="1">
      <alignment horizontal="center" vertical="center"/>
    </xf>
    <xf numFmtId="176" fontId="55" fillId="0" borderId="22" xfId="0" applyNumberFormat="1" applyFont="1" applyBorder="1" applyAlignment="1">
      <alignment horizontal="center" vertical="center"/>
    </xf>
    <xf numFmtId="176" fontId="55" fillId="0" borderId="21" xfId="0" applyNumberFormat="1" applyFont="1" applyBorder="1" applyAlignment="1">
      <alignment horizontal="center" vertical="center"/>
    </xf>
    <xf numFmtId="176" fontId="58" fillId="21" borderId="25" xfId="0" applyNumberFormat="1" applyFont="1" applyFill="1" applyBorder="1">
      <alignment vertical="center"/>
    </xf>
    <xf numFmtId="176" fontId="58" fillId="20" borderId="25" xfId="0" applyNumberFormat="1" applyFont="1" applyFill="1" applyBorder="1">
      <alignment vertical="center"/>
    </xf>
    <xf numFmtId="176" fontId="58" fillId="7" borderId="25" xfId="0" applyNumberFormat="1" applyFont="1" applyFill="1" applyBorder="1">
      <alignment vertical="center"/>
    </xf>
    <xf numFmtId="176" fontId="9" fillId="10" borderId="19" xfId="0" applyNumberFormat="1" applyFont="1" applyFill="1" applyBorder="1">
      <alignment vertical="center"/>
    </xf>
    <xf numFmtId="176" fontId="58" fillId="0" borderId="1" xfId="0" applyNumberFormat="1" applyFont="1" applyBorder="1">
      <alignment vertical="center"/>
    </xf>
    <xf numFmtId="176" fontId="10" fillId="0" borderId="15" xfId="0" applyNumberFormat="1" applyFont="1" applyBorder="1">
      <alignment vertical="center"/>
    </xf>
    <xf numFmtId="176" fontId="9" fillId="0" borderId="38" xfId="0" applyNumberFormat="1" applyFont="1" applyBorder="1" applyAlignment="1">
      <alignment horizontal="center" vertical="center"/>
    </xf>
    <xf numFmtId="176" fontId="10" fillId="14" borderId="25" xfId="0" applyNumberFormat="1" applyFont="1" applyFill="1" applyBorder="1">
      <alignment vertical="center"/>
    </xf>
    <xf numFmtId="176" fontId="8" fillId="14" borderId="2" xfId="0" applyNumberFormat="1" applyFont="1" applyFill="1" applyBorder="1" applyAlignment="1">
      <alignment horizontal="center" vertical="center"/>
    </xf>
    <xf numFmtId="176" fontId="9" fillId="14" borderId="2" xfId="0" applyNumberFormat="1" applyFont="1" applyFill="1" applyBorder="1" applyAlignment="1">
      <alignment horizontal="center" vertical="center"/>
    </xf>
    <xf numFmtId="176" fontId="100" fillId="0" borderId="26" xfId="0" applyNumberFormat="1" applyFont="1" applyBorder="1" applyAlignment="1">
      <alignment horizontal="left" vertical="center"/>
    </xf>
    <xf numFmtId="176" fontId="9" fillId="10" borderId="26" xfId="0" applyNumberFormat="1" applyFont="1" applyFill="1" applyBorder="1">
      <alignment vertical="center"/>
    </xf>
    <xf numFmtId="176" fontId="98" fillId="14" borderId="1" xfId="0" applyNumberFormat="1" applyFont="1" applyFill="1" applyBorder="1" applyAlignment="1">
      <alignment horizontal="center" vertical="center"/>
    </xf>
    <xf numFmtId="176" fontId="58" fillId="15" borderId="25" xfId="0" applyNumberFormat="1" applyFont="1" applyFill="1" applyBorder="1">
      <alignment vertical="center"/>
    </xf>
    <xf numFmtId="176" fontId="58" fillId="22" borderId="25" xfId="0" applyNumberFormat="1" applyFont="1" applyFill="1" applyBorder="1">
      <alignment vertical="center"/>
    </xf>
    <xf numFmtId="176" fontId="58" fillId="8" borderId="25" xfId="0" applyNumberFormat="1" applyFont="1" applyFill="1" applyBorder="1">
      <alignment vertical="center"/>
    </xf>
    <xf numFmtId="176" fontId="58" fillId="23" borderId="25" xfId="0" applyNumberFormat="1" applyFont="1" applyFill="1" applyBorder="1">
      <alignment vertical="center"/>
    </xf>
    <xf numFmtId="176" fontId="77" fillId="10" borderId="17" xfId="0" applyNumberFormat="1" applyFont="1" applyFill="1" applyBorder="1" applyAlignment="1">
      <alignment horizontal="left" vertical="center"/>
    </xf>
    <xf numFmtId="176" fontId="58" fillId="0" borderId="15" xfId="0" applyNumberFormat="1" applyFont="1" applyBorder="1">
      <alignment vertical="center"/>
    </xf>
    <xf numFmtId="176" fontId="8" fillId="0" borderId="7" xfId="0" applyNumberFormat="1" applyFont="1" applyBorder="1" applyAlignment="1">
      <alignment horizontal="center" vertical="center"/>
    </xf>
    <xf numFmtId="176" fontId="58" fillId="0" borderId="6" xfId="0" applyNumberFormat="1" applyFont="1" applyBorder="1">
      <alignment vertical="center"/>
    </xf>
    <xf numFmtId="176" fontId="55" fillId="0" borderId="20" xfId="0" applyNumberFormat="1" applyFont="1" applyBorder="1" applyAlignment="1">
      <alignment horizontal="center" vertical="center" wrapText="1"/>
    </xf>
    <xf numFmtId="176" fontId="100" fillId="0" borderId="19" xfId="0" applyNumberFormat="1" applyFont="1" applyBorder="1">
      <alignment vertical="center"/>
    </xf>
    <xf numFmtId="176" fontId="60" fillId="0" borderId="0" xfId="0" applyNumberFormat="1" applyFont="1" applyAlignment="1">
      <alignment horizontal="left" vertical="top" wrapText="1"/>
    </xf>
    <xf numFmtId="176" fontId="8" fillId="0" borderId="39" xfId="0" applyNumberFormat="1" applyFont="1" applyBorder="1" applyAlignment="1">
      <alignment horizontal="left" vertical="top" wrapText="1"/>
    </xf>
    <xf numFmtId="176" fontId="8" fillId="0" borderId="51" xfId="0" applyNumberFormat="1" applyFont="1" applyBorder="1" applyAlignment="1">
      <alignment horizontal="left" vertical="center"/>
    </xf>
    <xf numFmtId="176" fontId="8" fillId="0" borderId="49" xfId="0" applyNumberFormat="1" applyFont="1" applyBorder="1" applyAlignment="1">
      <alignment horizontal="left" vertical="center"/>
    </xf>
    <xf numFmtId="176" fontId="8" fillId="0" borderId="45" xfId="0" applyNumberFormat="1" applyFont="1" applyBorder="1" applyAlignment="1">
      <alignment horizontal="left" vertical="center"/>
    </xf>
    <xf numFmtId="176" fontId="8" fillId="0" borderId="27" xfId="0" applyNumberFormat="1" applyFont="1" applyBorder="1" applyAlignment="1">
      <alignment horizontal="left" vertical="center"/>
    </xf>
    <xf numFmtId="176" fontId="60" fillId="0" borderId="0" xfId="0" applyNumberFormat="1" applyFont="1" applyAlignment="1">
      <alignment horizontal="left" vertical="center"/>
    </xf>
    <xf numFmtId="176" fontId="23" fillId="10" borderId="26" xfId="0" applyNumberFormat="1" applyFont="1" applyFill="1" applyBorder="1">
      <alignment vertical="center"/>
    </xf>
    <xf numFmtId="176" fontId="77" fillId="0" borderId="27" xfId="0" applyNumberFormat="1" applyFont="1" applyBorder="1" applyAlignment="1">
      <alignment horizontal="left" vertical="center"/>
    </xf>
    <xf numFmtId="0" fontId="118" fillId="0" borderId="0" xfId="0" applyFont="1">
      <alignment vertical="center"/>
    </xf>
    <xf numFmtId="176" fontId="77" fillId="10" borderId="25" xfId="0" applyNumberFormat="1" applyFont="1" applyFill="1" applyBorder="1">
      <alignment vertical="center"/>
    </xf>
    <xf numFmtId="176" fontId="99" fillId="0" borderId="4" xfId="0" applyNumberFormat="1" applyFont="1" applyBorder="1" applyAlignment="1">
      <alignment horizontal="center" vertical="center"/>
    </xf>
    <xf numFmtId="176" fontId="84" fillId="0" borderId="49" xfId="0" applyNumberFormat="1" applyFont="1" applyBorder="1" applyAlignment="1">
      <alignment horizontal="left" vertical="center"/>
    </xf>
    <xf numFmtId="176" fontId="8" fillId="10" borderId="49" xfId="0" applyNumberFormat="1" applyFont="1" applyFill="1" applyBorder="1" applyAlignment="1">
      <alignment horizontal="left" vertical="center"/>
    </xf>
    <xf numFmtId="176" fontId="55" fillId="10" borderId="20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left" vertical="center"/>
    </xf>
    <xf numFmtId="176" fontId="57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57" fillId="0" borderId="2" xfId="0" applyNumberFormat="1" applyFont="1" applyBorder="1" applyAlignment="1">
      <alignment horizontal="center" vertical="center"/>
    </xf>
    <xf numFmtId="176" fontId="8" fillId="17" borderId="1" xfId="0" applyNumberFormat="1" applyFont="1" applyFill="1" applyBorder="1" applyAlignment="1">
      <alignment horizontal="center" vertical="center"/>
    </xf>
    <xf numFmtId="0" fontId="128" fillId="0" borderId="1" xfId="9" applyFont="1" applyBorder="1" applyAlignment="1">
      <alignment horizontal="left" vertical="center"/>
    </xf>
    <xf numFmtId="0" fontId="95" fillId="0" borderId="1" xfId="9" applyFont="1" applyBorder="1" applyAlignment="1">
      <alignment vertical="center" wrapText="1"/>
    </xf>
    <xf numFmtId="176" fontId="9" fillId="0" borderId="25" xfId="0" applyNumberFormat="1" applyFont="1" applyBorder="1">
      <alignment vertical="center"/>
    </xf>
    <xf numFmtId="176" fontId="9" fillId="0" borderId="16" xfId="0" applyNumberFormat="1" applyFont="1" applyBorder="1">
      <alignment vertical="center"/>
    </xf>
    <xf numFmtId="176" fontId="57" fillId="19" borderId="1" xfId="0" applyNumberFormat="1" applyFont="1" applyFill="1" applyBorder="1" applyAlignment="1">
      <alignment horizontal="center" vertical="center"/>
    </xf>
    <xf numFmtId="176" fontId="57" fillId="17" borderId="1" xfId="0" applyNumberFormat="1" applyFont="1" applyFill="1" applyBorder="1" applyAlignment="1">
      <alignment horizontal="center" vertical="center"/>
    </xf>
    <xf numFmtId="176" fontId="57" fillId="10" borderId="3" xfId="0" applyNumberFormat="1" applyFont="1" applyFill="1" applyBorder="1" applyAlignment="1">
      <alignment horizontal="center" vertical="center"/>
    </xf>
    <xf numFmtId="176" fontId="133" fillId="0" borderId="4" xfId="0" applyNumberFormat="1" applyFont="1" applyBorder="1" applyAlignment="1">
      <alignment horizontal="center" vertical="center"/>
    </xf>
    <xf numFmtId="176" fontId="134" fillId="0" borderId="4" xfId="0" applyNumberFormat="1" applyFont="1" applyBorder="1" applyAlignment="1">
      <alignment horizontal="center" vertical="center"/>
    </xf>
    <xf numFmtId="176" fontId="23" fillId="0" borderId="49" xfId="0" applyNumberFormat="1" applyFont="1" applyBorder="1" applyAlignment="1">
      <alignment horizontal="left" vertical="center"/>
    </xf>
    <xf numFmtId="176" fontId="137" fillId="0" borderId="26" xfId="0" applyNumberFormat="1" applyFont="1" applyBorder="1">
      <alignment vertical="center"/>
    </xf>
    <xf numFmtId="176" fontId="58" fillId="0" borderId="28" xfId="0" applyNumberFormat="1" applyFont="1" applyBorder="1">
      <alignment vertical="center"/>
    </xf>
    <xf numFmtId="176" fontId="57" fillId="0" borderId="10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77" fillId="10" borderId="26" xfId="0" applyNumberFormat="1" applyFont="1" applyFill="1" applyBorder="1">
      <alignment vertical="center"/>
    </xf>
    <xf numFmtId="176" fontId="77" fillId="10" borderId="4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>
      <alignment vertical="center"/>
    </xf>
    <xf numFmtId="176" fontId="9" fillId="10" borderId="44" xfId="0" applyNumberFormat="1" applyFont="1" applyFill="1" applyBorder="1">
      <alignment vertical="center"/>
    </xf>
    <xf numFmtId="176" fontId="9" fillId="10" borderId="25" xfId="0" applyNumberFormat="1" applyFont="1" applyFill="1" applyBorder="1">
      <alignment vertical="center"/>
    </xf>
    <xf numFmtId="176" fontId="84" fillId="15" borderId="49" xfId="0" applyNumberFormat="1" applyFont="1" applyFill="1" applyBorder="1" applyAlignment="1">
      <alignment horizontal="left" vertical="center"/>
    </xf>
    <xf numFmtId="176" fontId="10" fillId="10" borderId="25" xfId="0" applyNumberFormat="1" applyFont="1" applyFill="1" applyBorder="1">
      <alignment vertical="center"/>
    </xf>
    <xf numFmtId="176" fontId="55" fillId="10" borderId="22" xfId="0" applyNumberFormat="1" applyFont="1" applyFill="1" applyBorder="1" applyAlignment="1">
      <alignment horizontal="center" vertical="center"/>
    </xf>
    <xf numFmtId="176" fontId="23" fillId="10" borderId="49" xfId="0" applyNumberFormat="1" applyFont="1" applyFill="1" applyBorder="1" applyAlignment="1">
      <alignment horizontal="left" vertical="center"/>
    </xf>
    <xf numFmtId="176" fontId="57" fillId="25" borderId="1" xfId="0" applyNumberFormat="1" applyFont="1" applyFill="1" applyBorder="1" applyAlignment="1">
      <alignment horizontal="center" vertical="center"/>
    </xf>
    <xf numFmtId="176" fontId="58" fillId="25" borderId="19" xfId="0" applyNumberFormat="1" applyFont="1" applyFill="1" applyBorder="1">
      <alignment vertical="center"/>
    </xf>
    <xf numFmtId="176" fontId="8" fillId="25" borderId="1" xfId="0" applyNumberFormat="1" applyFont="1" applyFill="1" applyBorder="1" applyAlignment="1">
      <alignment horizontal="center" vertical="center"/>
    </xf>
    <xf numFmtId="176" fontId="10" fillId="0" borderId="4" xfId="0" applyNumberFormat="1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center" vertical="center"/>
    </xf>
    <xf numFmtId="176" fontId="80" fillId="15" borderId="54" xfId="0" applyNumberFormat="1" applyFont="1" applyFill="1" applyBorder="1" applyAlignment="1">
      <alignment horizontal="left" vertical="center"/>
    </xf>
    <xf numFmtId="176" fontId="77" fillId="0" borderId="49" xfId="0" applyNumberFormat="1" applyFont="1" applyBorder="1" applyAlignment="1">
      <alignment horizontal="left" vertical="center"/>
    </xf>
    <xf numFmtId="176" fontId="60" fillId="0" borderId="27" xfId="0" applyNumberFormat="1" applyFont="1" applyBorder="1" applyAlignment="1">
      <alignment horizontal="left" vertical="center"/>
    </xf>
    <xf numFmtId="176" fontId="8" fillId="10" borderId="57" xfId="0" applyNumberFormat="1" applyFont="1" applyFill="1" applyBorder="1" applyAlignment="1">
      <alignment horizontal="left" vertical="center"/>
    </xf>
    <xf numFmtId="176" fontId="91" fillId="0" borderId="51" xfId="0" applyNumberFormat="1" applyFont="1" applyBorder="1" applyAlignment="1">
      <alignment horizontal="left" vertical="center"/>
    </xf>
    <xf numFmtId="176" fontId="91" fillId="0" borderId="57" xfId="0" applyNumberFormat="1" applyFont="1" applyBorder="1" applyAlignment="1">
      <alignment horizontal="left" vertical="center"/>
    </xf>
    <xf numFmtId="176" fontId="60" fillId="0" borderId="49" xfId="0" applyNumberFormat="1" applyFont="1" applyBorder="1" applyAlignment="1">
      <alignment horizontal="left" vertical="center"/>
    </xf>
    <xf numFmtId="176" fontId="8" fillId="0" borderId="57" xfId="0" applyNumberFormat="1" applyFont="1" applyBorder="1" applyAlignment="1">
      <alignment horizontal="left" vertical="center"/>
    </xf>
    <xf numFmtId="176" fontId="88" fillId="0" borderId="49" xfId="0" applyNumberFormat="1" applyFont="1" applyBorder="1" applyAlignment="1">
      <alignment horizontal="left" vertical="center"/>
    </xf>
    <xf numFmtId="176" fontId="60" fillId="0" borderId="45" xfId="0" applyNumberFormat="1" applyFont="1" applyBorder="1" applyAlignment="1">
      <alignment horizontal="left" vertical="center"/>
    </xf>
    <xf numFmtId="176" fontId="88" fillId="10" borderId="53" xfId="0" applyNumberFormat="1" applyFont="1" applyFill="1" applyBorder="1" applyAlignment="1">
      <alignment horizontal="center" vertical="center"/>
    </xf>
    <xf numFmtId="176" fontId="88" fillId="10" borderId="53" xfId="0" applyNumberFormat="1" applyFont="1" applyFill="1" applyBorder="1" applyAlignment="1">
      <alignment horizontal="left" vertical="center"/>
    </xf>
    <xf numFmtId="176" fontId="80" fillId="0" borderId="51" xfId="0" applyNumberFormat="1" applyFont="1" applyBorder="1" applyAlignment="1">
      <alignment horizontal="left" vertical="center"/>
    </xf>
    <xf numFmtId="176" fontId="55" fillId="0" borderId="24" xfId="0" applyNumberFormat="1" applyFont="1" applyBorder="1" applyAlignment="1">
      <alignment horizontal="center" vertical="center"/>
    </xf>
    <xf numFmtId="176" fontId="55" fillId="10" borderId="24" xfId="0" applyNumberFormat="1" applyFont="1" applyFill="1" applyBorder="1" applyAlignment="1">
      <alignment horizontal="center" vertical="center"/>
    </xf>
    <xf numFmtId="176" fontId="55" fillId="19" borderId="20" xfId="0" applyNumberFormat="1" applyFont="1" applyFill="1" applyBorder="1" applyAlignment="1">
      <alignment horizontal="center" vertical="center"/>
    </xf>
    <xf numFmtId="176" fontId="55" fillId="10" borderId="18" xfId="0" applyNumberFormat="1" applyFont="1" applyFill="1" applyBorder="1" applyAlignment="1">
      <alignment horizontal="center" vertical="center"/>
    </xf>
    <xf numFmtId="176" fontId="55" fillId="0" borderId="34" xfId="0" applyNumberFormat="1" applyFont="1" applyBorder="1" applyAlignment="1">
      <alignment horizontal="center" vertical="center"/>
    </xf>
    <xf numFmtId="176" fontId="55" fillId="0" borderId="23" xfId="0" applyNumberFormat="1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55" fillId="0" borderId="54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55" fillId="25" borderId="20" xfId="0" applyNumberFormat="1" applyFont="1" applyFill="1" applyBorder="1" applyAlignment="1">
      <alignment horizontal="center" vertical="center"/>
    </xf>
    <xf numFmtId="176" fontId="8" fillId="14" borderId="27" xfId="0" applyNumberFormat="1" applyFont="1" applyFill="1" applyBorder="1" applyAlignment="1">
      <alignment horizontal="left" vertical="center"/>
    </xf>
    <xf numFmtId="176" fontId="8" fillId="10" borderId="27" xfId="0" applyNumberFormat="1" applyFont="1" applyFill="1" applyBorder="1" applyAlignment="1">
      <alignment horizontal="left" vertical="center"/>
    </xf>
    <xf numFmtId="176" fontId="8" fillId="14" borderId="49" xfId="0" applyNumberFormat="1" applyFont="1" applyFill="1" applyBorder="1" applyAlignment="1">
      <alignment horizontal="left" vertical="center"/>
    </xf>
    <xf numFmtId="176" fontId="134" fillId="0" borderId="49" xfId="0" applyNumberFormat="1" applyFont="1" applyBorder="1" applyAlignment="1">
      <alignment horizontal="left" vertical="center"/>
    </xf>
    <xf numFmtId="176" fontId="134" fillId="0" borderId="57" xfId="0" applyNumberFormat="1" applyFont="1" applyBorder="1" applyAlignment="1">
      <alignment horizontal="left" vertical="center"/>
    </xf>
    <xf numFmtId="176" fontId="79" fillId="0" borderId="45" xfId="0" applyNumberFormat="1" applyFont="1" applyBorder="1" applyAlignment="1">
      <alignment horizontal="left" vertical="center"/>
    </xf>
    <xf numFmtId="176" fontId="101" fillId="14" borderId="20" xfId="0" applyNumberFormat="1" applyFont="1" applyFill="1" applyBorder="1" applyAlignment="1">
      <alignment horizontal="center" vertical="center"/>
    </xf>
    <xf numFmtId="176" fontId="125" fillId="0" borderId="24" xfId="0" applyNumberFormat="1" applyFont="1" applyBorder="1" applyAlignment="1">
      <alignment horizontal="center" vertical="center"/>
    </xf>
    <xf numFmtId="176" fontId="55" fillId="14" borderId="24" xfId="0" applyNumberFormat="1" applyFont="1" applyFill="1" applyBorder="1" applyAlignment="1">
      <alignment horizontal="center" vertical="center"/>
    </xf>
    <xf numFmtId="176" fontId="55" fillId="17" borderId="20" xfId="0" applyNumberFormat="1" applyFont="1" applyFill="1" applyBorder="1" applyAlignment="1">
      <alignment horizontal="center" vertical="center"/>
    </xf>
    <xf numFmtId="176" fontId="88" fillId="10" borderId="27" xfId="0" applyNumberFormat="1" applyFont="1" applyFill="1" applyBorder="1" applyAlignment="1">
      <alignment horizontal="left" vertical="center"/>
    </xf>
    <xf numFmtId="176" fontId="58" fillId="24" borderId="58" xfId="0" applyNumberFormat="1" applyFont="1" applyFill="1" applyBorder="1">
      <alignment vertical="center"/>
    </xf>
    <xf numFmtId="176" fontId="57" fillId="24" borderId="7" xfId="0" applyNumberFormat="1" applyFont="1" applyFill="1" applyBorder="1" applyAlignment="1">
      <alignment horizontal="center" vertical="center"/>
    </xf>
    <xf numFmtId="176" fontId="8" fillId="24" borderId="7" xfId="0" applyNumberFormat="1" applyFont="1" applyFill="1" applyBorder="1" applyAlignment="1">
      <alignment horizontal="center" vertical="center"/>
    </xf>
    <xf numFmtId="176" fontId="8" fillId="24" borderId="24" xfId="0" applyNumberFormat="1" applyFont="1" applyFill="1" applyBorder="1" applyAlignment="1">
      <alignment horizontal="center" vertical="center"/>
    </xf>
    <xf numFmtId="176" fontId="8" fillId="24" borderId="31" xfId="0" applyNumberFormat="1" applyFont="1" applyFill="1" applyBorder="1" applyAlignment="1">
      <alignment horizontal="left" vertical="center"/>
    </xf>
    <xf numFmtId="176" fontId="58" fillId="24" borderId="25" xfId="0" applyNumberFormat="1" applyFont="1" applyFill="1" applyBorder="1">
      <alignment vertical="center"/>
    </xf>
    <xf numFmtId="176" fontId="57" fillId="24" borderId="2" xfId="0" applyNumberFormat="1" applyFont="1" applyFill="1" applyBorder="1" applyAlignment="1">
      <alignment horizontal="center" vertical="center"/>
    </xf>
    <xf numFmtId="176" fontId="8" fillId="24" borderId="2" xfId="0" applyNumberFormat="1" applyFont="1" applyFill="1" applyBorder="1" applyAlignment="1">
      <alignment horizontal="center" vertical="center"/>
    </xf>
    <xf numFmtId="176" fontId="8" fillId="24" borderId="20" xfId="0" applyNumberFormat="1" applyFont="1" applyFill="1" applyBorder="1" applyAlignment="1">
      <alignment horizontal="center" vertical="center"/>
    </xf>
    <xf numFmtId="176" fontId="58" fillId="24" borderId="19" xfId="0" applyNumberFormat="1" applyFont="1" applyFill="1" applyBorder="1">
      <alignment vertical="center"/>
    </xf>
    <xf numFmtId="176" fontId="58" fillId="0" borderId="58" xfId="0" applyNumberFormat="1" applyFont="1" applyBorder="1">
      <alignment vertical="center"/>
    </xf>
    <xf numFmtId="176" fontId="11" fillId="0" borderId="0" xfId="0" applyNumberFormat="1" applyFont="1" applyAlignment="1">
      <alignment horizontal="left" vertical="top" wrapText="1"/>
    </xf>
    <xf numFmtId="176" fontId="78" fillId="0" borderId="38" xfId="0" applyNumberFormat="1" applyFont="1" applyBorder="1" applyAlignment="1">
      <alignment horizontal="left" vertical="center"/>
    </xf>
    <xf numFmtId="176" fontId="105" fillId="0" borderId="1" xfId="0" applyNumberFormat="1" applyFont="1" applyBorder="1" applyAlignment="1">
      <alignment horizontal="left" vertical="center"/>
    </xf>
    <xf numFmtId="176" fontId="105" fillId="0" borderId="1" xfId="0" quotePrefix="1" applyNumberFormat="1" applyFont="1" applyBorder="1" applyAlignment="1">
      <alignment horizontal="left" vertical="center"/>
    </xf>
    <xf numFmtId="176" fontId="105" fillId="14" borderId="1" xfId="0" quotePrefix="1" applyNumberFormat="1" applyFont="1" applyFill="1" applyBorder="1" applyAlignment="1">
      <alignment horizontal="left" vertical="center"/>
    </xf>
    <xf numFmtId="176" fontId="103" fillId="14" borderId="4" xfId="0" applyNumberFormat="1" applyFont="1" applyFill="1" applyBorder="1" applyAlignment="1">
      <alignment horizontal="left" vertical="center"/>
    </xf>
    <xf numFmtId="176" fontId="103" fillId="0" borderId="2" xfId="0" quotePrefix="1" applyNumberFormat="1" applyFont="1" applyBorder="1" applyAlignment="1">
      <alignment horizontal="left" vertical="center"/>
    </xf>
    <xf numFmtId="176" fontId="105" fillId="0" borderId="6" xfId="0" applyNumberFormat="1" applyFont="1" applyBorder="1" applyAlignment="1">
      <alignment horizontal="left" vertical="center"/>
    </xf>
    <xf numFmtId="176" fontId="59" fillId="0" borderId="10" xfId="0" quotePrefix="1" applyNumberFormat="1" applyFont="1" applyBorder="1" applyAlignment="1">
      <alignment horizontal="left" vertical="center"/>
    </xf>
    <xf numFmtId="176" fontId="76" fillId="10" borderId="1" xfId="0" quotePrefix="1" applyNumberFormat="1" applyFont="1" applyFill="1" applyBorder="1" applyAlignment="1">
      <alignment horizontal="left" vertical="center"/>
    </xf>
    <xf numFmtId="176" fontId="59" fillId="0" borderId="4" xfId="0" applyNumberFormat="1" applyFont="1" applyBorder="1" applyAlignment="1">
      <alignment horizontal="left" vertical="center"/>
    </xf>
    <xf numFmtId="176" fontId="76" fillId="0" borderId="1" xfId="0" applyNumberFormat="1" applyFont="1" applyBorder="1" applyAlignment="1">
      <alignment horizontal="left" vertical="center"/>
    </xf>
    <xf numFmtId="176" fontId="59" fillId="0" borderId="1" xfId="0" applyNumberFormat="1" applyFont="1" applyBorder="1" applyAlignment="1">
      <alignment horizontal="left" vertical="center"/>
    </xf>
    <xf numFmtId="176" fontId="59" fillId="14" borderId="1" xfId="0" applyNumberFormat="1" applyFont="1" applyFill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176" fontId="105" fillId="0" borderId="4" xfId="0" applyNumberFormat="1" applyFont="1" applyBorder="1" applyAlignment="1">
      <alignment horizontal="left" vertical="center"/>
    </xf>
    <xf numFmtId="176" fontId="11" fillId="0" borderId="6" xfId="0" applyNumberFormat="1" applyFont="1" applyBorder="1" applyAlignment="1">
      <alignment horizontal="left" vertical="center"/>
    </xf>
    <xf numFmtId="176" fontId="103" fillId="10" borderId="4" xfId="0" applyNumberFormat="1" applyFont="1" applyFill="1" applyBorder="1" applyAlignment="1">
      <alignment horizontal="left" vertical="center"/>
    </xf>
    <xf numFmtId="176" fontId="105" fillId="0" borderId="4" xfId="0" quotePrefix="1" applyNumberFormat="1" applyFont="1" applyBorder="1" applyAlignment="1">
      <alignment horizontal="left" vertical="center"/>
    </xf>
    <xf numFmtId="176" fontId="59" fillId="0" borderId="4" xfId="0" quotePrefix="1" applyNumberFormat="1" applyFont="1" applyBorder="1" applyAlignment="1">
      <alignment horizontal="left" vertical="center"/>
    </xf>
    <xf numFmtId="176" fontId="59" fillId="10" borderId="1" xfId="0" quotePrefix="1" applyNumberFormat="1" applyFont="1" applyFill="1" applyBorder="1" applyAlignment="1">
      <alignment horizontal="left" vertical="center"/>
    </xf>
    <xf numFmtId="176" fontId="59" fillId="0" borderId="1" xfId="0" quotePrefix="1" applyNumberFormat="1" applyFont="1" applyBorder="1" applyAlignment="1">
      <alignment horizontal="left" vertical="center"/>
    </xf>
    <xf numFmtId="176" fontId="59" fillId="0" borderId="6" xfId="0" applyNumberFormat="1" applyFont="1" applyBorder="1" applyAlignment="1">
      <alignment horizontal="left" vertical="center"/>
    </xf>
    <xf numFmtId="176" fontId="59" fillId="0" borderId="3" xfId="0" applyNumberFormat="1" applyFont="1" applyBorder="1" applyAlignment="1">
      <alignment horizontal="left" vertical="center"/>
    </xf>
    <xf numFmtId="176" fontId="59" fillId="0" borderId="2" xfId="0" applyNumberFormat="1" applyFont="1" applyBorder="1" applyAlignment="1">
      <alignment horizontal="left" vertical="center"/>
    </xf>
    <xf numFmtId="176" fontId="76" fillId="10" borderId="2" xfId="0" applyNumberFormat="1" applyFont="1" applyFill="1" applyBorder="1" applyAlignment="1">
      <alignment horizontal="left" vertical="center"/>
    </xf>
    <xf numFmtId="176" fontId="59" fillId="0" borderId="2" xfId="0" quotePrefix="1" applyNumberFormat="1" applyFont="1" applyBorder="1" applyAlignment="1">
      <alignment horizontal="left" vertical="center"/>
    </xf>
    <xf numFmtId="176" fontId="103" fillId="10" borderId="4" xfId="0" quotePrefix="1" applyNumberFormat="1" applyFont="1" applyFill="1" applyBorder="1" applyAlignment="1">
      <alignment horizontal="left" vertical="center"/>
    </xf>
    <xf numFmtId="176" fontId="59" fillId="24" borderId="1" xfId="0" applyNumberFormat="1" applyFont="1" applyFill="1" applyBorder="1" applyAlignment="1">
      <alignment horizontal="left" vertical="center"/>
    </xf>
    <xf numFmtId="176" fontId="59" fillId="25" borderId="1" xfId="0" applyNumberFormat="1" applyFont="1" applyFill="1" applyBorder="1" applyAlignment="1">
      <alignment horizontal="left" vertical="center"/>
    </xf>
    <xf numFmtId="176" fontId="76" fillId="10" borderId="4" xfId="0" applyNumberFormat="1" applyFont="1" applyFill="1" applyBorder="1" applyAlignment="1">
      <alignment horizontal="left" vertical="center"/>
    </xf>
    <xf numFmtId="176" fontId="59" fillId="10" borderId="1" xfId="0" applyNumberFormat="1" applyFont="1" applyFill="1" applyBorder="1" applyAlignment="1">
      <alignment horizontal="left" vertical="center"/>
    </xf>
    <xf numFmtId="176" fontId="11" fillId="0" borderId="36" xfId="0" applyNumberFormat="1" applyFont="1" applyBorder="1" applyAlignment="1">
      <alignment horizontal="left" vertical="center"/>
    </xf>
    <xf numFmtId="6" fontId="72" fillId="0" borderId="4" xfId="0" applyNumberFormat="1" applyFont="1" applyBorder="1" applyAlignment="1">
      <alignment horizontal="left" vertical="center" wrapText="1"/>
    </xf>
    <xf numFmtId="176" fontId="72" fillId="0" borderId="0" xfId="0" applyNumberFormat="1" applyFont="1" applyAlignment="1">
      <alignment horizontal="left" vertical="center"/>
    </xf>
    <xf numFmtId="176" fontId="77" fillId="10" borderId="49" xfId="0" applyNumberFormat="1" applyFont="1" applyFill="1" applyBorder="1" applyAlignment="1">
      <alignment horizontal="left" vertical="center"/>
    </xf>
    <xf numFmtId="176" fontId="55" fillId="10" borderId="4" xfId="0" applyNumberFormat="1" applyFont="1" applyFill="1" applyBorder="1" applyAlignment="1">
      <alignment horizontal="center" vertical="center"/>
    </xf>
    <xf numFmtId="176" fontId="105" fillId="10" borderId="1" xfId="0" applyNumberFormat="1" applyFont="1" applyFill="1" applyBorder="1" applyAlignment="1">
      <alignment horizontal="left" vertical="center"/>
    </xf>
    <xf numFmtId="176" fontId="8" fillId="10" borderId="8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55" fillId="7" borderId="20" xfId="0" applyNumberFormat="1" applyFont="1" applyFill="1" applyBorder="1" applyAlignment="1">
      <alignment horizontal="center" vertical="center"/>
    </xf>
    <xf numFmtId="176" fontId="9" fillId="17" borderId="26" xfId="0" applyNumberFormat="1" applyFont="1" applyFill="1" applyBorder="1">
      <alignment vertical="center"/>
    </xf>
    <xf numFmtId="176" fontId="103" fillId="17" borderId="4" xfId="0" applyNumberFormat="1" applyFont="1" applyFill="1" applyBorder="1" applyAlignment="1">
      <alignment horizontal="left" vertical="center"/>
    </xf>
    <xf numFmtId="176" fontId="55" fillId="17" borderId="4" xfId="0" applyNumberFormat="1" applyFont="1" applyFill="1" applyBorder="1" applyAlignment="1">
      <alignment horizontal="center" vertical="center"/>
    </xf>
    <xf numFmtId="176" fontId="8" fillId="17" borderId="4" xfId="0" applyNumberFormat="1" applyFont="1" applyFill="1" applyBorder="1" applyAlignment="1">
      <alignment horizontal="center" vertical="center"/>
    </xf>
    <xf numFmtId="176" fontId="9" fillId="17" borderId="26" xfId="0" applyNumberFormat="1" applyFont="1" applyFill="1" applyBorder="1" applyAlignment="1">
      <alignment horizontal="left" vertical="center"/>
    </xf>
    <xf numFmtId="176" fontId="58" fillId="17" borderId="19" xfId="0" applyNumberFormat="1" applyFont="1" applyFill="1" applyBorder="1">
      <alignment vertical="center"/>
    </xf>
    <xf numFmtId="176" fontId="58" fillId="7" borderId="19" xfId="0" applyNumberFormat="1" applyFont="1" applyFill="1" applyBorder="1">
      <alignment vertical="center"/>
    </xf>
    <xf numFmtId="176" fontId="105" fillId="7" borderId="4" xfId="0" applyNumberFormat="1" applyFont="1" applyFill="1" applyBorder="1" applyAlignment="1">
      <alignment horizontal="left" vertical="center"/>
    </xf>
    <xf numFmtId="176" fontId="57" fillId="7" borderId="1" xfId="0" applyNumberFormat="1" applyFont="1" applyFill="1" applyBorder="1" applyAlignment="1">
      <alignment horizontal="center" vertical="center"/>
    </xf>
    <xf numFmtId="176" fontId="75" fillId="10" borderId="53" xfId="0" applyNumberFormat="1" applyFont="1" applyFill="1" applyBorder="1" applyAlignment="1">
      <alignment horizontal="left" vertical="center"/>
    </xf>
    <xf numFmtId="176" fontId="55" fillId="10" borderId="8" xfId="0" applyNumberFormat="1" applyFont="1" applyFill="1" applyBorder="1" applyAlignment="1">
      <alignment horizontal="center" vertical="center"/>
    </xf>
    <xf numFmtId="176" fontId="105" fillId="10" borderId="4" xfId="0" applyNumberFormat="1" applyFont="1" applyFill="1" applyBorder="1" applyAlignment="1">
      <alignment horizontal="left" vertical="center"/>
    </xf>
    <xf numFmtId="176" fontId="58" fillId="0" borderId="1" xfId="0" applyNumberFormat="1" applyFont="1" applyBorder="1" applyAlignment="1">
      <alignment horizontal="left" vertical="center"/>
    </xf>
    <xf numFmtId="176" fontId="11" fillId="0" borderId="1" xfId="0" quotePrefix="1" applyNumberFormat="1" applyFont="1" applyBorder="1" applyAlignment="1">
      <alignment horizontal="left" vertical="center"/>
    </xf>
    <xf numFmtId="176" fontId="8" fillId="0" borderId="59" xfId="0" applyNumberFormat="1" applyFont="1" applyBorder="1" applyAlignment="1">
      <alignment horizontal="center" vertical="center"/>
    </xf>
    <xf numFmtId="176" fontId="11" fillId="10" borderId="1" xfId="0" quotePrefix="1" applyNumberFormat="1" applyFont="1" applyFill="1" applyBorder="1" applyAlignment="1">
      <alignment horizontal="left" vertical="center"/>
    </xf>
    <xf numFmtId="176" fontId="8" fillId="10" borderId="60" xfId="0" applyNumberFormat="1" applyFont="1" applyFill="1" applyBorder="1" applyAlignment="1">
      <alignment horizontal="center" vertical="center"/>
    </xf>
    <xf numFmtId="176" fontId="103" fillId="10" borderId="2" xfId="0" quotePrefix="1" applyNumberFormat="1" applyFont="1" applyFill="1" applyBorder="1" applyAlignment="1">
      <alignment horizontal="left" vertical="center"/>
    </xf>
    <xf numFmtId="176" fontId="9" fillId="10" borderId="2" xfId="0" applyNumberFormat="1" applyFont="1" applyFill="1" applyBorder="1" applyAlignment="1">
      <alignment horizontal="center" vertical="center"/>
    </xf>
    <xf numFmtId="176" fontId="101" fillId="10" borderId="22" xfId="0" applyNumberFormat="1" applyFont="1" applyFill="1" applyBorder="1" applyAlignment="1">
      <alignment horizontal="center" vertical="center"/>
    </xf>
    <xf numFmtId="176" fontId="101" fillId="10" borderId="2" xfId="0" applyNumberFormat="1" applyFont="1" applyFill="1" applyBorder="1" applyAlignment="1">
      <alignment horizontal="center" vertical="center"/>
    </xf>
    <xf numFmtId="176" fontId="10" fillId="10" borderId="5" xfId="0" applyNumberFormat="1" applyFont="1" applyFill="1" applyBorder="1">
      <alignment vertical="center"/>
    </xf>
    <xf numFmtId="176" fontId="59" fillId="10" borderId="8" xfId="0" applyNumberFormat="1" applyFont="1" applyFill="1" applyBorder="1" applyAlignment="1">
      <alignment horizontal="left" vertical="center"/>
    </xf>
    <xf numFmtId="176" fontId="57" fillId="10" borderId="8" xfId="0" applyNumberFormat="1" applyFont="1" applyFill="1" applyBorder="1" applyAlignment="1">
      <alignment horizontal="center" vertical="center"/>
    </xf>
    <xf numFmtId="176" fontId="105" fillId="10" borderId="1" xfId="0" quotePrefix="1" applyNumberFormat="1" applyFont="1" applyFill="1" applyBorder="1" applyAlignment="1">
      <alignment horizontal="left" vertical="center"/>
    </xf>
    <xf numFmtId="176" fontId="105" fillId="0" borderId="2" xfId="0" applyNumberFormat="1" applyFont="1" applyBorder="1" applyAlignment="1">
      <alignment horizontal="left" vertical="center"/>
    </xf>
    <xf numFmtId="176" fontId="105" fillId="19" borderId="1" xfId="0" applyNumberFormat="1" applyFont="1" applyFill="1" applyBorder="1" applyAlignment="1">
      <alignment horizontal="left" vertical="center"/>
    </xf>
    <xf numFmtId="176" fontId="77" fillId="19" borderId="49" xfId="0" applyNumberFormat="1" applyFont="1" applyFill="1" applyBorder="1" applyAlignment="1">
      <alignment horizontal="left" vertical="center"/>
    </xf>
    <xf numFmtId="176" fontId="9" fillId="17" borderId="25" xfId="0" applyNumberFormat="1" applyFont="1" applyFill="1" applyBorder="1">
      <alignment vertical="center"/>
    </xf>
    <xf numFmtId="176" fontId="103" fillId="17" borderId="2" xfId="0" applyNumberFormat="1" applyFont="1" applyFill="1" applyBorder="1" applyAlignment="1">
      <alignment horizontal="left" vertical="center"/>
    </xf>
    <xf numFmtId="176" fontId="55" fillId="17" borderId="2" xfId="0" applyNumberFormat="1" applyFont="1" applyFill="1" applyBorder="1" applyAlignment="1">
      <alignment horizontal="center" vertical="center"/>
    </xf>
    <xf numFmtId="176" fontId="88" fillId="25" borderId="13" xfId="0" applyNumberFormat="1" applyFont="1" applyFill="1" applyBorder="1" applyAlignment="1">
      <alignment horizontal="center" vertical="center"/>
    </xf>
    <xf numFmtId="176" fontId="79" fillId="25" borderId="13" xfId="0" applyNumberFormat="1" applyFont="1" applyFill="1" applyBorder="1" applyAlignment="1">
      <alignment horizontal="center" vertical="center"/>
    </xf>
    <xf numFmtId="176" fontId="147" fillId="0" borderId="32" xfId="2" applyNumberFormat="1" applyFont="1" applyFill="1" applyBorder="1" applyAlignment="1" applyProtection="1">
      <alignment horizontal="left" vertical="center"/>
    </xf>
    <xf numFmtId="176" fontId="147" fillId="0" borderId="43" xfId="2" applyNumberFormat="1" applyFont="1" applyFill="1" applyBorder="1" applyAlignment="1" applyProtection="1">
      <alignment horizontal="left" vertical="center"/>
    </xf>
    <xf numFmtId="176" fontId="9" fillId="10" borderId="4" xfId="0" applyNumberFormat="1" applyFont="1" applyFill="1" applyBorder="1">
      <alignment vertical="center"/>
    </xf>
    <xf numFmtId="176" fontId="75" fillId="10" borderId="53" xfId="0" applyNumberFormat="1" applyFont="1" applyFill="1" applyBorder="1">
      <alignment vertical="center"/>
    </xf>
    <xf numFmtId="176" fontId="9" fillId="10" borderId="61" xfId="0" applyNumberFormat="1" applyFont="1" applyFill="1" applyBorder="1">
      <alignment vertical="center"/>
    </xf>
    <xf numFmtId="176" fontId="139" fillId="15" borderId="1" xfId="0" applyNumberFormat="1" applyFont="1" applyFill="1" applyBorder="1" applyAlignment="1">
      <alignment horizontal="center" vertical="center"/>
    </xf>
    <xf numFmtId="176" fontId="80" fillId="15" borderId="1" xfId="0" applyNumberFormat="1" applyFont="1" applyFill="1" applyBorder="1" applyAlignment="1">
      <alignment horizontal="center" vertical="center"/>
    </xf>
    <xf numFmtId="176" fontId="55" fillId="17" borderId="24" xfId="0" applyNumberFormat="1" applyFont="1" applyFill="1" applyBorder="1" applyAlignment="1">
      <alignment horizontal="center" vertical="center"/>
    </xf>
    <xf numFmtId="176" fontId="55" fillId="17" borderId="22" xfId="0" applyNumberFormat="1" applyFont="1" applyFill="1" applyBorder="1" applyAlignment="1">
      <alignment horizontal="center" vertical="center"/>
    </xf>
    <xf numFmtId="176" fontId="58" fillId="10" borderId="1" xfId="0" applyNumberFormat="1" applyFont="1" applyFill="1" applyBorder="1" applyAlignment="1">
      <alignment horizontal="left" vertical="center"/>
    </xf>
    <xf numFmtId="176" fontId="8" fillId="19" borderId="19" xfId="0" applyNumberFormat="1" applyFont="1" applyFill="1" applyBorder="1">
      <alignment vertical="center"/>
    </xf>
    <xf numFmtId="176" fontId="76" fillId="10" borderId="2" xfId="0" quotePrefix="1" applyNumberFormat="1" applyFont="1" applyFill="1" applyBorder="1" applyAlignment="1">
      <alignment horizontal="left" vertical="center"/>
    </xf>
    <xf numFmtId="176" fontId="77" fillId="10" borderId="51" xfId="0" applyNumberFormat="1" applyFont="1" applyFill="1" applyBorder="1">
      <alignment vertical="center"/>
    </xf>
    <xf numFmtId="176" fontId="100" fillId="0" borderId="26" xfId="0" applyNumberFormat="1" applyFont="1" applyBorder="1">
      <alignment vertical="center"/>
    </xf>
    <xf numFmtId="176" fontId="91" fillId="10" borderId="49" xfId="0" applyNumberFormat="1" applyFont="1" applyFill="1" applyBorder="1" applyAlignment="1">
      <alignment horizontal="left" vertical="center"/>
    </xf>
    <xf numFmtId="176" fontId="60" fillId="0" borderId="33" xfId="0" applyNumberFormat="1" applyFont="1" applyBorder="1" applyAlignment="1">
      <alignment horizontal="left" vertical="center"/>
    </xf>
    <xf numFmtId="176" fontId="77" fillId="0" borderId="19" xfId="0" applyNumberFormat="1" applyFont="1" applyBorder="1">
      <alignment vertical="center"/>
    </xf>
    <xf numFmtId="176" fontId="77" fillId="10" borderId="27" xfId="0" applyNumberFormat="1" applyFont="1" applyFill="1" applyBorder="1" applyAlignment="1">
      <alignment horizontal="left" vertical="center"/>
    </xf>
    <xf numFmtId="176" fontId="55" fillId="0" borderId="37" xfId="0" applyNumberFormat="1" applyFont="1" applyBorder="1" applyAlignment="1">
      <alignment horizontal="center" vertical="center"/>
    </xf>
    <xf numFmtId="176" fontId="57" fillId="0" borderId="62" xfId="0" applyNumberFormat="1" applyFont="1" applyBorder="1" applyAlignment="1">
      <alignment horizontal="center" vertical="center"/>
    </xf>
    <xf numFmtId="6" fontId="8" fillId="0" borderId="9" xfId="0" applyNumberFormat="1" applyFont="1" applyBorder="1" applyAlignment="1">
      <alignment horizontal="center" vertical="center" wrapText="1"/>
    </xf>
    <xf numFmtId="176" fontId="55" fillId="0" borderId="63" xfId="0" applyNumberFormat="1" applyFont="1" applyBorder="1">
      <alignment vertical="center"/>
    </xf>
    <xf numFmtId="176" fontId="55" fillId="0" borderId="52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  <xf numFmtId="176" fontId="154" fillId="0" borderId="47" xfId="0" applyNumberFormat="1" applyFont="1" applyBorder="1" applyAlignment="1">
      <alignment vertical="top" wrapText="1"/>
    </xf>
    <xf numFmtId="176" fontId="23" fillId="14" borderId="27" xfId="0" applyNumberFormat="1" applyFont="1" applyFill="1" applyBorder="1" applyAlignment="1">
      <alignment horizontal="left" vertical="center"/>
    </xf>
    <xf numFmtId="176" fontId="91" fillId="10" borderId="51" xfId="0" applyNumberFormat="1" applyFont="1" applyFill="1" applyBorder="1" applyAlignment="1">
      <alignment horizontal="left" vertical="center"/>
    </xf>
    <xf numFmtId="176" fontId="77" fillId="10" borderId="19" xfId="0" applyNumberFormat="1" applyFont="1" applyFill="1" applyBorder="1">
      <alignment vertical="center"/>
    </xf>
    <xf numFmtId="176" fontId="59" fillId="10" borderId="2" xfId="0" quotePrefix="1" applyNumberFormat="1" applyFont="1" applyFill="1" applyBorder="1" applyAlignment="1">
      <alignment horizontal="left" vertical="center"/>
    </xf>
    <xf numFmtId="176" fontId="97" fillId="15" borderId="1" xfId="0" applyNumberFormat="1" applyFont="1" applyFill="1" applyBorder="1" applyAlignment="1">
      <alignment horizontal="left" vertical="center"/>
    </xf>
    <xf numFmtId="176" fontId="156" fillId="15" borderId="4" xfId="0" applyNumberFormat="1" applyFont="1" applyFill="1" applyBorder="1" applyAlignment="1">
      <alignment horizontal="center" vertical="center"/>
    </xf>
    <xf numFmtId="176" fontId="96" fillId="15" borderId="4" xfId="0" applyNumberFormat="1" applyFont="1" applyFill="1" applyBorder="1" applyAlignment="1">
      <alignment horizontal="center" vertical="center"/>
    </xf>
    <xf numFmtId="176" fontId="156" fillId="15" borderId="24" xfId="0" applyNumberFormat="1" applyFont="1" applyFill="1" applyBorder="1" applyAlignment="1">
      <alignment horizontal="center" vertical="center"/>
    </xf>
    <xf numFmtId="176" fontId="124" fillId="15" borderId="57" xfId="0" applyNumberFormat="1" applyFont="1" applyFill="1" applyBorder="1" applyAlignment="1">
      <alignment horizontal="left" vertical="center"/>
    </xf>
    <xf numFmtId="176" fontId="84" fillId="15" borderId="26" xfId="0" applyNumberFormat="1" applyFont="1" applyFill="1" applyBorder="1">
      <alignment vertical="center"/>
    </xf>
    <xf numFmtId="176" fontId="139" fillId="15" borderId="20" xfId="0" applyNumberFormat="1" applyFont="1" applyFill="1" applyBorder="1" applyAlignment="1">
      <alignment horizontal="center" vertical="center"/>
    </xf>
    <xf numFmtId="176" fontId="23" fillId="10" borderId="32" xfId="0" applyNumberFormat="1" applyFont="1" applyFill="1" applyBorder="1" applyAlignment="1">
      <alignment horizontal="left" vertical="center"/>
    </xf>
    <xf numFmtId="176" fontId="8" fillId="0" borderId="32" xfId="0" applyNumberFormat="1" applyFont="1" applyBorder="1" applyAlignment="1">
      <alignment horizontal="left" vertical="center"/>
    </xf>
    <xf numFmtId="176" fontId="60" fillId="0" borderId="43" xfId="0" applyNumberFormat="1" applyFont="1" applyBorder="1" applyAlignment="1">
      <alignment horizontal="left" vertical="center"/>
    </xf>
    <xf numFmtId="176" fontId="60" fillId="0" borderId="32" xfId="0" applyNumberFormat="1" applyFont="1" applyBorder="1" applyAlignment="1">
      <alignment horizontal="left" vertical="center"/>
    </xf>
    <xf numFmtId="176" fontId="148" fillId="0" borderId="32" xfId="0" applyNumberFormat="1" applyFont="1" applyBorder="1" applyAlignment="1">
      <alignment horizontal="left" vertical="center"/>
    </xf>
    <xf numFmtId="176" fontId="23" fillId="0" borderId="42" xfId="0" applyNumberFormat="1" applyFont="1" applyBorder="1" applyAlignment="1">
      <alignment horizontal="left" vertical="center"/>
    </xf>
    <xf numFmtId="176" fontId="88" fillId="10" borderId="42" xfId="0" applyNumberFormat="1" applyFont="1" applyFill="1" applyBorder="1" applyAlignment="1">
      <alignment horizontal="left" vertical="center"/>
    </xf>
    <xf numFmtId="176" fontId="8" fillId="0" borderId="42" xfId="0" applyNumberFormat="1" applyFont="1" applyBorder="1" applyAlignment="1">
      <alignment horizontal="left" vertical="center"/>
    </xf>
    <xf numFmtId="176" fontId="121" fillId="0" borderId="32" xfId="0" applyNumberFormat="1" applyFont="1" applyBorder="1" applyAlignment="1">
      <alignment horizontal="left" vertical="center"/>
    </xf>
    <xf numFmtId="176" fontId="8" fillId="0" borderId="43" xfId="0" applyNumberFormat="1" applyFont="1" applyBorder="1" applyAlignment="1">
      <alignment horizontal="left" vertical="center"/>
    </xf>
    <xf numFmtId="176" fontId="77" fillId="10" borderId="31" xfId="0" applyNumberFormat="1" applyFont="1" applyFill="1" applyBorder="1" applyAlignment="1">
      <alignment horizontal="left" vertical="center"/>
    </xf>
    <xf numFmtId="176" fontId="80" fillId="0" borderId="32" xfId="0" applyNumberFormat="1" applyFont="1" applyBorder="1" applyAlignment="1">
      <alignment horizontal="left" vertical="center"/>
    </xf>
    <xf numFmtId="176" fontId="54" fillId="0" borderId="32" xfId="2" applyNumberFormat="1" applyFill="1" applyBorder="1" applyAlignment="1" applyProtection="1">
      <alignment horizontal="left" vertical="center"/>
    </xf>
    <xf numFmtId="176" fontId="147" fillId="0" borderId="13" xfId="2" applyNumberFormat="1" applyFont="1" applyFill="1" applyBorder="1" applyAlignment="1" applyProtection="1">
      <alignment horizontal="left" vertical="center"/>
    </xf>
    <xf numFmtId="176" fontId="8" fillId="0" borderId="13" xfId="0" applyNumberFormat="1" applyFont="1" applyBorder="1" applyAlignment="1">
      <alignment horizontal="left" vertical="center"/>
    </xf>
    <xf numFmtId="176" fontId="8" fillId="0" borderId="32" xfId="0" applyNumberFormat="1" applyFont="1" applyBorder="1">
      <alignment vertical="center"/>
    </xf>
    <xf numFmtId="176" fontId="60" fillId="0" borderId="14" xfId="0" applyNumberFormat="1" applyFont="1" applyBorder="1" applyAlignment="1">
      <alignment horizontal="left" vertical="center"/>
    </xf>
    <xf numFmtId="176" fontId="80" fillId="0" borderId="31" xfId="0" applyNumberFormat="1" applyFont="1" applyBorder="1" applyAlignment="1">
      <alignment horizontal="left" vertical="center"/>
    </xf>
    <xf numFmtId="176" fontId="80" fillId="0" borderId="42" xfId="0" applyNumberFormat="1" applyFont="1" applyBorder="1" applyAlignment="1">
      <alignment horizontal="left" vertical="center"/>
    </xf>
    <xf numFmtId="176" fontId="77" fillId="0" borderId="32" xfId="0" applyNumberFormat="1" applyFont="1" applyBorder="1">
      <alignment vertical="center"/>
    </xf>
    <xf numFmtId="176" fontId="8" fillId="10" borderId="42" xfId="0" applyNumberFormat="1" applyFont="1" applyFill="1" applyBorder="1" applyAlignment="1">
      <alignment horizontal="left" vertical="center"/>
    </xf>
    <xf numFmtId="176" fontId="91" fillId="0" borderId="32" xfId="0" applyNumberFormat="1" applyFont="1" applyBorder="1" applyAlignment="1">
      <alignment horizontal="left" vertical="center"/>
    </xf>
    <xf numFmtId="176" fontId="91" fillId="10" borderId="43" xfId="0" applyNumberFormat="1" applyFont="1" applyFill="1" applyBorder="1" applyAlignment="1">
      <alignment horizontal="left" vertical="center"/>
    </xf>
    <xf numFmtId="176" fontId="23" fillId="0" borderId="32" xfId="0" applyNumberFormat="1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left" vertical="center"/>
    </xf>
    <xf numFmtId="176" fontId="122" fillId="0" borderId="42" xfId="0" applyNumberFormat="1" applyFont="1" applyBorder="1" applyAlignment="1">
      <alignment horizontal="left" vertical="center"/>
    </xf>
    <xf numFmtId="176" fontId="8" fillId="0" borderId="37" xfId="0" applyNumberFormat="1" applyFont="1" applyBorder="1" applyAlignment="1">
      <alignment horizontal="left" vertical="center"/>
    </xf>
    <xf numFmtId="6" fontId="60" fillId="0" borderId="14" xfId="0" applyNumberFormat="1" applyFont="1" applyBorder="1" applyAlignment="1">
      <alignment horizontal="left" vertical="center"/>
    </xf>
    <xf numFmtId="176" fontId="149" fillId="15" borderId="19" xfId="0" applyNumberFormat="1" applyFont="1" applyFill="1" applyBorder="1">
      <alignment vertical="center"/>
    </xf>
    <xf numFmtId="176" fontId="157" fillId="15" borderId="4" xfId="0" applyNumberFormat="1" applyFont="1" applyFill="1" applyBorder="1" applyAlignment="1">
      <alignment horizontal="left" vertical="center"/>
    </xf>
    <xf numFmtId="176" fontId="91" fillId="10" borderId="43" xfId="0" applyNumberFormat="1" applyFont="1" applyFill="1" applyBorder="1">
      <alignment vertical="center"/>
    </xf>
    <xf numFmtId="176" fontId="158" fillId="10" borderId="25" xfId="0" applyNumberFormat="1" applyFont="1" applyFill="1" applyBorder="1">
      <alignment vertical="center"/>
    </xf>
    <xf numFmtId="176" fontId="88" fillId="10" borderId="43" xfId="0" applyNumberFormat="1" applyFont="1" applyFill="1" applyBorder="1" applyAlignment="1">
      <alignment horizontal="left" vertical="center"/>
    </xf>
    <xf numFmtId="176" fontId="88" fillId="10" borderId="13" xfId="0" applyNumberFormat="1" applyFont="1" applyFill="1" applyBorder="1" applyAlignment="1">
      <alignment horizontal="left" vertical="center"/>
    </xf>
    <xf numFmtId="176" fontId="23" fillId="0" borderId="42" xfId="0" applyNumberFormat="1" applyFont="1" applyBorder="1" applyAlignment="1">
      <alignment horizontal="center" vertical="center"/>
    </xf>
    <xf numFmtId="176" fontId="8" fillId="17" borderId="12" xfId="0" applyNumberFormat="1" applyFont="1" applyFill="1" applyBorder="1">
      <alignment vertical="center"/>
    </xf>
    <xf numFmtId="176" fontId="8" fillId="17" borderId="13" xfId="0" applyNumberFormat="1" applyFont="1" applyFill="1" applyBorder="1">
      <alignment vertical="center"/>
    </xf>
    <xf numFmtId="176" fontId="8" fillId="17" borderId="42" xfId="0" applyNumberFormat="1" applyFont="1" applyFill="1" applyBorder="1">
      <alignment vertical="center"/>
    </xf>
    <xf numFmtId="176" fontId="91" fillId="17" borderId="13" xfId="0" applyNumberFormat="1" applyFont="1" applyFill="1" applyBorder="1" applyAlignment="1">
      <alignment horizontal="center" vertical="center"/>
    </xf>
    <xf numFmtId="176" fontId="75" fillId="17" borderId="13" xfId="0" applyNumberFormat="1" applyFont="1" applyFill="1" applyBorder="1">
      <alignment vertical="center"/>
    </xf>
    <xf numFmtId="176" fontId="80" fillId="15" borderId="4" xfId="0" applyNumberFormat="1" applyFont="1" applyFill="1" applyBorder="1" applyAlignment="1">
      <alignment horizontal="center" vertical="center"/>
    </xf>
    <xf numFmtId="176" fontId="80" fillId="15" borderId="5" xfId="0" applyNumberFormat="1" applyFont="1" applyFill="1" applyBorder="1">
      <alignment vertical="center"/>
    </xf>
    <xf numFmtId="176" fontId="159" fillId="15" borderId="42" xfId="0" applyNumberFormat="1" applyFont="1" applyFill="1" applyBorder="1" applyAlignment="1">
      <alignment horizontal="left" vertical="center"/>
    </xf>
    <xf numFmtId="176" fontId="91" fillId="0" borderId="49" xfId="0" applyNumberFormat="1" applyFont="1" applyBorder="1" applyAlignment="1">
      <alignment horizontal="left" vertical="center"/>
    </xf>
    <xf numFmtId="176" fontId="126" fillId="0" borderId="31" xfId="0" applyNumberFormat="1" applyFont="1" applyBorder="1" applyAlignment="1">
      <alignment horizontal="left" vertical="center"/>
    </xf>
    <xf numFmtId="176" fontId="91" fillId="0" borderId="37" xfId="0" applyNumberFormat="1" applyFont="1" applyBorder="1" applyAlignment="1">
      <alignment horizontal="left" vertical="center"/>
    </xf>
    <xf numFmtId="176" fontId="105" fillId="26" borderId="4" xfId="0" applyNumberFormat="1" applyFont="1" applyFill="1" applyBorder="1" applyAlignment="1">
      <alignment horizontal="left" vertical="center"/>
    </xf>
    <xf numFmtId="176" fontId="55" fillId="26" borderId="20" xfId="0" applyNumberFormat="1" applyFont="1" applyFill="1" applyBorder="1" applyAlignment="1">
      <alignment horizontal="center" vertical="center"/>
    </xf>
    <xf numFmtId="176" fontId="58" fillId="26" borderId="19" xfId="0" applyNumberFormat="1" applyFont="1" applyFill="1" applyBorder="1" applyAlignment="1">
      <alignment horizontal="left" vertical="center"/>
    </xf>
    <xf numFmtId="176" fontId="57" fillId="26" borderId="1" xfId="0" applyNumberFormat="1" applyFont="1" applyFill="1" applyBorder="1" applyAlignment="1">
      <alignment horizontal="center" vertical="center"/>
    </xf>
    <xf numFmtId="176" fontId="8" fillId="26" borderId="1" xfId="0" applyNumberFormat="1" applyFont="1" applyFill="1" applyBorder="1" applyAlignment="1">
      <alignment horizontal="center" vertical="center"/>
    </xf>
    <xf numFmtId="176" fontId="23" fillId="26" borderId="43" xfId="0" applyNumberFormat="1" applyFont="1" applyFill="1" applyBorder="1" applyAlignment="1">
      <alignment horizontal="left" vertical="center"/>
    </xf>
    <xf numFmtId="176" fontId="58" fillId="7" borderId="19" xfId="0" applyNumberFormat="1" applyFont="1" applyFill="1" applyBorder="1" applyAlignment="1">
      <alignment horizontal="left" vertical="center"/>
    </xf>
    <xf numFmtId="176" fontId="23" fillId="7" borderId="43" xfId="0" applyNumberFormat="1" applyFont="1" applyFill="1" applyBorder="1" applyAlignment="1">
      <alignment horizontal="left" vertical="center"/>
    </xf>
    <xf numFmtId="176" fontId="8" fillId="7" borderId="8" xfId="0" applyNumberFormat="1" applyFont="1" applyFill="1" applyBorder="1" applyAlignment="1">
      <alignment horizontal="center" vertical="center"/>
    </xf>
    <xf numFmtId="176" fontId="58" fillId="10" borderId="19" xfId="0" applyNumberFormat="1" applyFont="1" applyFill="1" applyBorder="1" applyAlignment="1">
      <alignment horizontal="left" vertical="center"/>
    </xf>
    <xf numFmtId="176" fontId="23" fillId="10" borderId="43" xfId="0" applyNumberFormat="1" applyFont="1" applyFill="1" applyBorder="1" applyAlignment="1">
      <alignment horizontal="left" vertical="center"/>
    </xf>
    <xf numFmtId="176" fontId="10" fillId="0" borderId="2" xfId="0" applyNumberFormat="1" applyFont="1" applyBorder="1" applyAlignment="1">
      <alignment horizontal="left" vertical="center"/>
    </xf>
    <xf numFmtId="176" fontId="75" fillId="10" borderId="1" xfId="0" applyNumberFormat="1" applyFont="1" applyFill="1" applyBorder="1" applyAlignment="1">
      <alignment horizontal="left" vertical="center"/>
    </xf>
    <xf numFmtId="176" fontId="59" fillId="10" borderId="2" xfId="0" applyNumberFormat="1" applyFont="1" applyFill="1" applyBorder="1" applyAlignment="1">
      <alignment horizontal="left" vertical="center"/>
    </xf>
    <xf numFmtId="176" fontId="10" fillId="26" borderId="26" xfId="0" applyNumberFormat="1" applyFont="1" applyFill="1" applyBorder="1">
      <alignment vertical="center"/>
    </xf>
    <xf numFmtId="176" fontId="59" fillId="26" borderId="1" xfId="0" applyNumberFormat="1" applyFont="1" applyFill="1" applyBorder="1" applyAlignment="1">
      <alignment horizontal="left" vertical="center"/>
    </xf>
    <xf numFmtId="176" fontId="57" fillId="26" borderId="4" xfId="0" applyNumberFormat="1" applyFont="1" applyFill="1" applyBorder="1" applyAlignment="1">
      <alignment horizontal="center" vertical="center"/>
    </xf>
    <xf numFmtId="176" fontId="8" fillId="26" borderId="4" xfId="0" applyNumberFormat="1" applyFont="1" applyFill="1" applyBorder="1" applyAlignment="1">
      <alignment horizontal="center" vertical="center"/>
    </xf>
    <xf numFmtId="176" fontId="55" fillId="26" borderId="24" xfId="0" applyNumberFormat="1" applyFont="1" applyFill="1" applyBorder="1" applyAlignment="1">
      <alignment horizontal="center" vertical="center"/>
    </xf>
    <xf numFmtId="176" fontId="77" fillId="26" borderId="51" xfId="0" applyNumberFormat="1" applyFont="1" applyFill="1" applyBorder="1">
      <alignment vertical="center"/>
    </xf>
    <xf numFmtId="176" fontId="9" fillId="0" borderId="13" xfId="0" quotePrefix="1" applyNumberFormat="1" applyFont="1" applyBorder="1" applyAlignment="1">
      <alignment horizontal="left" vertical="center"/>
    </xf>
    <xf numFmtId="176" fontId="9" fillId="0" borderId="13" xfId="0" applyNumberFormat="1" applyFont="1" applyBorder="1" applyAlignment="1">
      <alignment horizontal="left" vertical="center"/>
    </xf>
    <xf numFmtId="176" fontId="9" fillId="0" borderId="13" xfId="0" quotePrefix="1" applyNumberFormat="1" applyFont="1" applyBorder="1">
      <alignment vertical="center"/>
    </xf>
    <xf numFmtId="176" fontId="103" fillId="0" borderId="4" xfId="0" applyNumberFormat="1" applyFont="1" applyBorder="1" applyAlignment="1">
      <alignment horizontal="left" vertical="center"/>
    </xf>
    <xf numFmtId="176" fontId="9" fillId="0" borderId="43" xfId="0" quotePrefix="1" applyNumberFormat="1" applyFont="1" applyBorder="1" applyAlignment="1">
      <alignment horizontal="left" vertical="center"/>
    </xf>
    <xf numFmtId="176" fontId="105" fillId="0" borderId="1" xfId="0" applyNumberFormat="1" applyFont="1" applyBorder="1" applyAlignment="1">
      <alignment horizontal="center" vertical="center"/>
    </xf>
    <xf numFmtId="176" fontId="89" fillId="0" borderId="49" xfId="0" applyNumberFormat="1" applyFont="1" applyBorder="1" applyAlignment="1">
      <alignment horizontal="left" vertical="center"/>
    </xf>
    <xf numFmtId="176" fontId="10" fillId="10" borderId="19" xfId="0" applyNumberFormat="1" applyFont="1" applyFill="1" applyBorder="1">
      <alignment vertical="center"/>
    </xf>
    <xf numFmtId="176" fontId="77" fillId="10" borderId="42" xfId="0" applyNumberFormat="1" applyFont="1" applyFill="1" applyBorder="1" applyAlignment="1">
      <alignment horizontal="left" vertical="center"/>
    </xf>
    <xf numFmtId="176" fontId="88" fillId="10" borderId="32" xfId="0" applyNumberFormat="1" applyFont="1" applyFill="1" applyBorder="1" applyAlignment="1">
      <alignment horizontal="left" vertical="center"/>
    </xf>
    <xf numFmtId="176" fontId="10" fillId="3" borderId="5" xfId="0" applyNumberFormat="1" applyFont="1" applyFill="1" applyBorder="1" applyAlignment="1">
      <alignment horizontal="left"/>
    </xf>
    <xf numFmtId="176" fontId="57" fillId="0" borderId="5" xfId="0" applyNumberFormat="1" applyFont="1" applyBorder="1">
      <alignment vertical="center"/>
    </xf>
    <xf numFmtId="176" fontId="98" fillId="0" borderId="5" xfId="0" applyNumberFormat="1" applyFont="1" applyBorder="1">
      <alignment vertical="center"/>
    </xf>
    <xf numFmtId="176" fontId="99" fillId="0" borderId="5" xfId="0" applyNumberFormat="1" applyFont="1" applyBorder="1">
      <alignment vertical="center"/>
    </xf>
    <xf numFmtId="176" fontId="63" fillId="0" borderId="5" xfId="0" applyNumberFormat="1" applyFont="1" applyBorder="1">
      <alignment vertical="center"/>
    </xf>
    <xf numFmtId="176" fontId="57" fillId="0" borderId="19" xfId="0" applyNumberFormat="1" applyFont="1" applyBorder="1">
      <alignment vertical="center"/>
    </xf>
    <xf numFmtId="176" fontId="72" fillId="0" borderId="5" xfId="0" applyNumberFormat="1" applyFont="1" applyBorder="1">
      <alignment vertical="center"/>
    </xf>
    <xf numFmtId="176" fontId="102" fillId="0" borderId="5" xfId="0" applyNumberFormat="1" applyFont="1" applyBorder="1">
      <alignment vertical="center"/>
    </xf>
    <xf numFmtId="176" fontId="57" fillId="0" borderId="29" xfId="0" applyNumberFormat="1" applyFont="1" applyBorder="1">
      <alignment vertical="center"/>
    </xf>
    <xf numFmtId="6" fontId="57" fillId="0" borderId="29" xfId="0" applyNumberFormat="1" applyFont="1" applyBorder="1">
      <alignment vertical="center"/>
    </xf>
    <xf numFmtId="177" fontId="10" fillId="2" borderId="2" xfId="0" applyNumberFormat="1" applyFont="1" applyFill="1" applyBorder="1" applyAlignment="1">
      <alignment horizontal="center" vertical="center"/>
    </xf>
    <xf numFmtId="176" fontId="88" fillId="0" borderId="32" xfId="0" applyNumberFormat="1" applyFont="1" applyBorder="1" applyAlignment="1">
      <alignment horizontal="left" vertical="center"/>
    </xf>
    <xf numFmtId="176" fontId="77" fillId="0" borderId="32" xfId="0" applyNumberFormat="1" applyFont="1" applyBorder="1" applyAlignment="1">
      <alignment horizontal="left" vertical="center"/>
    </xf>
    <xf numFmtId="176" fontId="8" fillId="10" borderId="20" xfId="0" applyNumberFormat="1" applyFont="1" applyFill="1" applyBorder="1" applyAlignment="1">
      <alignment horizontal="center" vertical="center"/>
    </xf>
    <xf numFmtId="176" fontId="80" fillId="10" borderId="32" xfId="0" applyNumberFormat="1" applyFont="1" applyFill="1" applyBorder="1" applyAlignment="1">
      <alignment horizontal="left" vertical="center"/>
    </xf>
    <xf numFmtId="176" fontId="96" fillId="15" borderId="61" xfId="0" applyNumberFormat="1" applyFont="1" applyFill="1" applyBorder="1">
      <alignment vertical="center"/>
    </xf>
    <xf numFmtId="176" fontId="97" fillId="15" borderId="1" xfId="0" applyNumberFormat="1" applyFont="1" applyFill="1" applyBorder="1">
      <alignment vertical="center"/>
    </xf>
    <xf numFmtId="176" fontId="139" fillId="15" borderId="29" xfId="0" applyNumberFormat="1" applyFont="1" applyFill="1" applyBorder="1" applyAlignment="1">
      <alignment horizontal="center" vertical="center"/>
    </xf>
    <xf numFmtId="176" fontId="139" fillId="15" borderId="24" xfId="0" applyNumberFormat="1" applyFont="1" applyFill="1" applyBorder="1" applyAlignment="1">
      <alignment horizontal="center" vertical="center"/>
    </xf>
    <xf numFmtId="176" fontId="96" fillId="15" borderId="51" xfId="0" applyNumberFormat="1" applyFont="1" applyFill="1" applyBorder="1">
      <alignment vertical="center"/>
    </xf>
    <xf numFmtId="176" fontId="96" fillId="15" borderId="49" xfId="0" applyNumberFormat="1" applyFont="1" applyFill="1" applyBorder="1" applyAlignment="1">
      <alignment horizontal="left" vertical="center"/>
    </xf>
    <xf numFmtId="176" fontId="124" fillId="15" borderId="49" xfId="0" applyNumberFormat="1" applyFont="1" applyFill="1" applyBorder="1" applyAlignment="1">
      <alignment horizontal="left" vertical="center"/>
    </xf>
    <xf numFmtId="176" fontId="97" fillId="15" borderId="4" xfId="0" applyNumberFormat="1" applyFont="1" applyFill="1" applyBorder="1" applyAlignment="1">
      <alignment horizontal="left" vertical="center"/>
    </xf>
    <xf numFmtId="176" fontId="139" fillId="15" borderId="4" xfId="0" applyNumberFormat="1" applyFont="1" applyFill="1" applyBorder="1" applyAlignment="1">
      <alignment horizontal="center" vertical="center"/>
    </xf>
    <xf numFmtId="176" fontId="157" fillId="15" borderId="1" xfId="0" applyNumberFormat="1" applyFont="1" applyFill="1" applyBorder="1" applyAlignment="1">
      <alignment horizontal="left" vertical="center"/>
    </xf>
    <xf numFmtId="176" fontId="10" fillId="16" borderId="29" xfId="0" applyNumberFormat="1" applyFont="1" applyFill="1" applyBorder="1">
      <alignment vertical="center"/>
    </xf>
    <xf numFmtId="176" fontId="59" fillId="16" borderId="4" xfId="0" applyNumberFormat="1" applyFont="1" applyFill="1" applyBorder="1" applyAlignment="1">
      <alignment horizontal="left" vertical="center"/>
    </xf>
    <xf numFmtId="176" fontId="57" fillId="16" borderId="4" xfId="0" applyNumberFormat="1" applyFont="1" applyFill="1" applyBorder="1" applyAlignment="1">
      <alignment horizontal="center" vertical="center"/>
    </xf>
    <xf numFmtId="176" fontId="8" fillId="16" borderId="4" xfId="0" applyNumberFormat="1" applyFont="1" applyFill="1" applyBorder="1" applyAlignment="1">
      <alignment horizontal="center" vertical="center"/>
    </xf>
    <xf numFmtId="176" fontId="55" fillId="16" borderId="24" xfId="0" applyNumberFormat="1" applyFont="1" applyFill="1" applyBorder="1" applyAlignment="1">
      <alignment horizontal="center" vertical="center"/>
    </xf>
    <xf numFmtId="176" fontId="23" fillId="16" borderId="42" xfId="0" applyNumberFormat="1" applyFont="1" applyFill="1" applyBorder="1" applyAlignment="1">
      <alignment horizontal="left" vertical="center"/>
    </xf>
    <xf numFmtId="176" fontId="79" fillId="10" borderId="43" xfId="0" applyNumberFormat="1" applyFont="1" applyFill="1" applyBorder="1">
      <alignment vertical="center"/>
    </xf>
    <xf numFmtId="176" fontId="79" fillId="10" borderId="13" xfId="0" applyNumberFormat="1" applyFont="1" applyFill="1" applyBorder="1">
      <alignment vertical="center"/>
    </xf>
    <xf numFmtId="176" fontId="79" fillId="10" borderId="13" xfId="0" applyNumberFormat="1" applyFont="1" applyFill="1" applyBorder="1" applyAlignment="1">
      <alignment horizontal="center" vertical="center"/>
    </xf>
    <xf numFmtId="176" fontId="89" fillId="10" borderId="13" xfId="0" applyNumberFormat="1" applyFont="1" applyFill="1" applyBorder="1" applyAlignment="1">
      <alignment horizontal="center" vertical="center"/>
    </xf>
    <xf numFmtId="176" fontId="100" fillId="10" borderId="26" xfId="0" applyNumberFormat="1" applyFont="1" applyFill="1" applyBorder="1">
      <alignment vertical="center"/>
    </xf>
    <xf numFmtId="176" fontId="80" fillId="15" borderId="53" xfId="0" applyNumberFormat="1" applyFont="1" applyFill="1" applyBorder="1" applyAlignment="1">
      <alignment horizontal="left" vertical="center"/>
    </xf>
    <xf numFmtId="176" fontId="59" fillId="24" borderId="2" xfId="0" applyNumberFormat="1" applyFont="1" applyFill="1" applyBorder="1" applyAlignment="1">
      <alignment horizontal="left" vertical="center"/>
    </xf>
    <xf numFmtId="176" fontId="8" fillId="24" borderId="22" xfId="0" applyNumberFormat="1" applyFont="1" applyFill="1" applyBorder="1" applyAlignment="1">
      <alignment horizontal="center" vertical="center"/>
    </xf>
    <xf numFmtId="176" fontId="58" fillId="24" borderId="64" xfId="0" applyNumberFormat="1" applyFont="1" applyFill="1" applyBorder="1">
      <alignment vertical="center"/>
    </xf>
    <xf numFmtId="176" fontId="58" fillId="24" borderId="15" xfId="0" applyNumberFormat="1" applyFont="1" applyFill="1" applyBorder="1">
      <alignment vertical="center"/>
    </xf>
    <xf numFmtId="176" fontId="58" fillId="24" borderId="5" xfId="0" applyNumberFormat="1" applyFont="1" applyFill="1" applyBorder="1">
      <alignment vertical="center"/>
    </xf>
    <xf numFmtId="176" fontId="59" fillId="24" borderId="4" xfId="0" applyNumberFormat="1" applyFont="1" applyFill="1" applyBorder="1" applyAlignment="1">
      <alignment horizontal="left" vertical="center"/>
    </xf>
    <xf numFmtId="176" fontId="8" fillId="24" borderId="51" xfId="0" applyNumberFormat="1" applyFont="1" applyFill="1" applyBorder="1" applyAlignment="1">
      <alignment horizontal="left" vertical="center"/>
    </xf>
    <xf numFmtId="176" fontId="8" fillId="24" borderId="49" xfId="0" applyNumberFormat="1" applyFont="1" applyFill="1" applyBorder="1" applyAlignment="1">
      <alignment horizontal="left" vertical="center"/>
    </xf>
    <xf numFmtId="176" fontId="8" fillId="24" borderId="57" xfId="0" applyNumberFormat="1" applyFont="1" applyFill="1" applyBorder="1" applyAlignment="1">
      <alignment horizontal="left" vertical="center"/>
    </xf>
    <xf numFmtId="176" fontId="8" fillId="24" borderId="27" xfId="0" applyNumberFormat="1" applyFont="1" applyFill="1" applyBorder="1" applyAlignment="1">
      <alignment horizontal="left" vertical="center"/>
    </xf>
    <xf numFmtId="176" fontId="8" fillId="24" borderId="18" xfId="0" applyNumberFormat="1" applyFont="1" applyFill="1" applyBorder="1" applyAlignment="1">
      <alignment horizontal="center" vertical="center"/>
    </xf>
    <xf numFmtId="176" fontId="8" fillId="24" borderId="53" xfId="0" applyNumberFormat="1" applyFont="1" applyFill="1" applyBorder="1" applyAlignment="1">
      <alignment horizontal="left" vertical="center"/>
    </xf>
    <xf numFmtId="176" fontId="58" fillId="24" borderId="17" xfId="0" applyNumberFormat="1" applyFont="1" applyFill="1" applyBorder="1">
      <alignment vertical="center"/>
    </xf>
    <xf numFmtId="176" fontId="8" fillId="0" borderId="33" xfId="0" applyNumberFormat="1" applyFont="1" applyBorder="1" applyAlignment="1">
      <alignment horizontal="left" vertical="center"/>
    </xf>
    <xf numFmtId="176" fontId="100" fillId="0" borderId="5" xfId="0" applyNumberFormat="1" applyFont="1" applyBorder="1">
      <alignment vertical="center"/>
    </xf>
    <xf numFmtId="176" fontId="76" fillId="10" borderId="1" xfId="0" applyNumberFormat="1" applyFont="1" applyFill="1" applyBorder="1" applyAlignment="1">
      <alignment horizontal="left" vertical="center"/>
    </xf>
    <xf numFmtId="176" fontId="76" fillId="0" borderId="6" xfId="0" applyNumberFormat="1" applyFont="1" applyBorder="1" applyAlignment="1">
      <alignment horizontal="left" vertical="center"/>
    </xf>
    <xf numFmtId="176" fontId="23" fillId="0" borderId="1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23" fillId="0" borderId="47" xfId="0" applyNumberFormat="1" applyFont="1" applyBorder="1">
      <alignment vertical="center"/>
    </xf>
    <xf numFmtId="176" fontId="77" fillId="0" borderId="43" xfId="0" applyNumberFormat="1" applyFont="1" applyBorder="1" applyAlignment="1">
      <alignment horizontal="left" vertical="center"/>
    </xf>
    <xf numFmtId="176" fontId="139" fillId="15" borderId="22" xfId="0" applyNumberFormat="1" applyFont="1" applyFill="1" applyBorder="1" applyAlignment="1">
      <alignment horizontal="center" vertical="center"/>
    </xf>
    <xf numFmtId="176" fontId="8" fillId="10" borderId="43" xfId="0" applyNumberFormat="1" applyFont="1" applyFill="1" applyBorder="1" applyAlignment="1">
      <alignment horizontal="left" vertical="center"/>
    </xf>
    <xf numFmtId="176" fontId="8" fillId="10" borderId="49" xfId="0" quotePrefix="1" applyNumberFormat="1" applyFont="1" applyFill="1" applyBorder="1" applyAlignment="1">
      <alignment horizontal="left" vertical="center"/>
    </xf>
    <xf numFmtId="176" fontId="77" fillId="0" borderId="16" xfId="0" applyNumberFormat="1" applyFont="1" applyBorder="1">
      <alignment vertical="center"/>
    </xf>
    <xf numFmtId="176" fontId="132" fillId="0" borderId="7" xfId="0" quotePrefix="1" applyNumberFormat="1" applyFont="1" applyBorder="1" applyAlignment="1">
      <alignment horizontal="left" vertical="center"/>
    </xf>
    <xf numFmtId="176" fontId="57" fillId="10" borderId="15" xfId="0" applyNumberFormat="1" applyFont="1" applyFill="1" applyBorder="1" applyAlignment="1">
      <alignment horizontal="center" vertical="center"/>
    </xf>
    <xf numFmtId="176" fontId="76" fillId="10" borderId="1" xfId="0" applyNumberFormat="1" applyFont="1" applyFill="1" applyBorder="1" applyAlignment="1">
      <alignment horizontal="left" vertical="center" wrapText="1"/>
    </xf>
    <xf numFmtId="176" fontId="55" fillId="0" borderId="1" xfId="0" applyNumberFormat="1" applyFont="1" applyBorder="1" applyAlignment="1">
      <alignment horizontal="center" vertical="center"/>
    </xf>
    <xf numFmtId="176" fontId="58" fillId="10" borderId="5" xfId="0" applyNumberFormat="1" applyFont="1" applyFill="1" applyBorder="1">
      <alignment vertical="center"/>
    </xf>
    <xf numFmtId="0" fontId="94" fillId="10" borderId="1" xfId="9" applyFont="1" applyFill="1" applyBorder="1" applyAlignment="1">
      <alignment horizontal="left" vertical="center" wrapText="1"/>
    </xf>
    <xf numFmtId="176" fontId="97" fillId="0" borderId="1" xfId="0" applyNumberFormat="1" applyFont="1" applyBorder="1" applyAlignment="1">
      <alignment horizontal="left" vertical="center"/>
    </xf>
    <xf numFmtId="176" fontId="9" fillId="0" borderId="27" xfId="0" applyNumberFormat="1" applyFont="1" applyBorder="1" applyAlignment="1">
      <alignment horizontal="left" vertical="center"/>
    </xf>
    <xf numFmtId="176" fontId="105" fillId="0" borderId="4" xfId="0" quotePrefix="1" applyNumberFormat="1" applyFont="1" applyBorder="1" applyAlignment="1">
      <alignment horizontal="center" vertical="center" wrapText="1"/>
    </xf>
    <xf numFmtId="176" fontId="76" fillId="0" borderId="2" xfId="0" applyNumberFormat="1" applyFont="1" applyBorder="1" applyAlignment="1">
      <alignment horizontal="left" vertical="center"/>
    </xf>
    <xf numFmtId="176" fontId="91" fillId="10" borderId="49" xfId="0" applyNumberFormat="1" applyFont="1" applyFill="1" applyBorder="1">
      <alignment vertical="center"/>
    </xf>
    <xf numFmtId="176" fontId="159" fillId="15" borderId="49" xfId="0" applyNumberFormat="1" applyFont="1" applyFill="1" applyBorder="1" applyAlignment="1">
      <alignment vertical="center" wrapText="1"/>
    </xf>
    <xf numFmtId="176" fontId="80" fillId="15" borderId="19" xfId="0" applyNumberFormat="1" applyFont="1" applyFill="1" applyBorder="1">
      <alignment vertical="center"/>
    </xf>
    <xf numFmtId="176" fontId="105" fillId="0" borderId="8" xfId="0" applyNumberFormat="1" applyFont="1" applyBorder="1" applyAlignment="1">
      <alignment horizontal="left" vertical="center"/>
    </xf>
    <xf numFmtId="176" fontId="56" fillId="0" borderId="26" xfId="0" applyNumberFormat="1" applyFont="1" applyBorder="1">
      <alignment vertical="center"/>
    </xf>
    <xf numFmtId="176" fontId="96" fillId="15" borderId="43" xfId="0" applyNumberFormat="1" applyFont="1" applyFill="1" applyBorder="1" applyAlignment="1">
      <alignment horizontal="left" vertical="center"/>
    </xf>
    <xf numFmtId="176" fontId="100" fillId="0" borderId="28" xfId="0" applyNumberFormat="1" applyFont="1" applyBorder="1">
      <alignment vertical="center"/>
    </xf>
    <xf numFmtId="176" fontId="10" fillId="0" borderId="1" xfId="0" applyNumberFormat="1" applyFont="1" applyBorder="1">
      <alignment vertical="center"/>
    </xf>
    <xf numFmtId="176" fontId="8" fillId="10" borderId="44" xfId="0" applyNumberFormat="1" applyFont="1" applyFill="1" applyBorder="1">
      <alignment vertical="center"/>
    </xf>
    <xf numFmtId="176" fontId="57" fillId="0" borderId="15" xfId="0" applyNumberFormat="1" applyFont="1" applyBorder="1" applyAlignment="1">
      <alignment horizontal="center" vertical="center"/>
    </xf>
    <xf numFmtId="176" fontId="88" fillId="0" borderId="27" xfId="0" applyNumberFormat="1" applyFont="1" applyBorder="1" applyAlignment="1">
      <alignment horizontal="left" vertical="center"/>
    </xf>
    <xf numFmtId="176" fontId="10" fillId="0" borderId="44" xfId="0" applyNumberFormat="1" applyFont="1" applyBorder="1">
      <alignment vertical="center"/>
    </xf>
    <xf numFmtId="176" fontId="23" fillId="0" borderId="32" xfId="0" applyNumberFormat="1" applyFont="1" applyBorder="1" applyAlignment="1">
      <alignment horizontal="left" vertical="center"/>
    </xf>
    <xf numFmtId="176" fontId="100" fillId="0" borderId="25" xfId="0" applyNumberFormat="1" applyFont="1" applyBorder="1">
      <alignment vertical="center"/>
    </xf>
    <xf numFmtId="176" fontId="10" fillId="16" borderId="19" xfId="0" applyNumberFormat="1" applyFont="1" applyFill="1" applyBorder="1">
      <alignment vertical="center"/>
    </xf>
    <xf numFmtId="176" fontId="59" fillId="16" borderId="1" xfId="0" quotePrefix="1" applyNumberFormat="1" applyFont="1" applyFill="1" applyBorder="1" applyAlignment="1">
      <alignment horizontal="left" vertical="center"/>
    </xf>
    <xf numFmtId="176" fontId="57" fillId="16" borderId="1" xfId="0" applyNumberFormat="1" applyFont="1" applyFill="1" applyBorder="1" applyAlignment="1">
      <alignment horizontal="center" vertical="center"/>
    </xf>
    <xf numFmtId="176" fontId="8" fillId="16" borderId="1" xfId="0" applyNumberFormat="1" applyFont="1" applyFill="1" applyBorder="1" applyAlignment="1">
      <alignment horizontal="center" vertical="center"/>
    </xf>
    <xf numFmtId="176" fontId="8" fillId="16" borderId="20" xfId="0" applyNumberFormat="1" applyFont="1" applyFill="1" applyBorder="1" applyAlignment="1">
      <alignment horizontal="center" vertical="center"/>
    </xf>
    <xf numFmtId="176" fontId="80" fillId="16" borderId="32" xfId="0" applyNumberFormat="1" applyFont="1" applyFill="1" applyBorder="1" applyAlignment="1">
      <alignment horizontal="left" vertical="center"/>
    </xf>
    <xf numFmtId="176" fontId="105" fillId="0" borderId="8" xfId="0" quotePrefix="1" applyNumberFormat="1" applyFont="1" applyBorder="1" applyAlignment="1">
      <alignment horizontal="left" vertical="center"/>
    </xf>
    <xf numFmtId="176" fontId="58" fillId="10" borderId="5" xfId="0" applyNumberFormat="1" applyFont="1" applyFill="1" applyBorder="1" applyAlignment="1">
      <alignment horizontal="left" vertical="center"/>
    </xf>
    <xf numFmtId="176" fontId="105" fillId="10" borderId="8" xfId="0" quotePrefix="1" applyNumberFormat="1" applyFont="1" applyFill="1" applyBorder="1" applyAlignment="1">
      <alignment horizontal="left" vertical="center"/>
    </xf>
    <xf numFmtId="176" fontId="77" fillId="10" borderId="32" xfId="0" applyNumberFormat="1" applyFont="1" applyFill="1" applyBorder="1" applyAlignment="1">
      <alignment horizontal="left" vertical="center"/>
    </xf>
    <xf numFmtId="176" fontId="9" fillId="0" borderId="1" xfId="0" applyNumberFormat="1" applyFont="1" applyBorder="1" applyAlignment="1">
      <alignment horizontal="center" vertical="center"/>
    </xf>
    <xf numFmtId="176" fontId="101" fillId="0" borderId="22" xfId="0" applyNumberFormat="1" applyFont="1" applyBorder="1" applyAlignment="1">
      <alignment horizontal="center" vertical="center"/>
    </xf>
    <xf numFmtId="176" fontId="78" fillId="0" borderId="2" xfId="0" applyNumberFormat="1" applyFont="1" applyBorder="1" applyAlignment="1">
      <alignment horizontal="left" vertical="center"/>
    </xf>
    <xf numFmtId="176" fontId="98" fillId="0" borderId="2" xfId="0" applyNumberFormat="1" applyFont="1" applyBorder="1" applyAlignment="1">
      <alignment horizontal="center" vertical="center"/>
    </xf>
    <xf numFmtId="176" fontId="91" fillId="0" borderId="43" xfId="0" applyNumberFormat="1" applyFont="1" applyBorder="1">
      <alignment vertical="center"/>
    </xf>
    <xf numFmtId="176" fontId="23" fillId="10" borderId="53" xfId="0" applyNumberFormat="1" applyFont="1" applyFill="1" applyBorder="1" applyAlignment="1">
      <alignment horizontal="left" vertical="center"/>
    </xf>
    <xf numFmtId="176" fontId="80" fillId="15" borderId="17" xfId="0" applyNumberFormat="1" applyFont="1" applyFill="1" applyBorder="1">
      <alignment vertical="center"/>
    </xf>
    <xf numFmtId="176" fontId="97" fillId="15" borderId="1" xfId="0" quotePrefix="1" applyNumberFormat="1" applyFont="1" applyFill="1" applyBorder="1" applyAlignment="1">
      <alignment horizontal="left" vertical="center"/>
    </xf>
    <xf numFmtId="176" fontId="139" fillId="15" borderId="3" xfId="0" applyNumberFormat="1" applyFont="1" applyFill="1" applyBorder="1" applyAlignment="1">
      <alignment horizontal="center" vertical="center"/>
    </xf>
    <xf numFmtId="176" fontId="80" fillId="15" borderId="3" xfId="0" applyNumberFormat="1" applyFont="1" applyFill="1" applyBorder="1" applyAlignment="1">
      <alignment horizontal="center" vertical="center"/>
    </xf>
    <xf numFmtId="176" fontId="139" fillId="15" borderId="18" xfId="0" applyNumberFormat="1" applyFont="1" applyFill="1" applyBorder="1" applyAlignment="1">
      <alignment horizontal="center" vertical="center"/>
    </xf>
    <xf numFmtId="176" fontId="167" fillId="15" borderId="56" xfId="0" applyNumberFormat="1" applyFont="1" applyFill="1" applyBorder="1" applyAlignment="1">
      <alignment horizontal="left" vertical="center"/>
    </xf>
    <xf numFmtId="176" fontId="23" fillId="0" borderId="51" xfId="0" quotePrefix="1" applyNumberFormat="1" applyFont="1" applyBorder="1" applyAlignment="1">
      <alignment horizontal="left" vertical="center"/>
    </xf>
    <xf numFmtId="176" fontId="8" fillId="10" borderId="19" xfId="0" applyNumberFormat="1" applyFont="1" applyFill="1" applyBorder="1">
      <alignment vertical="center"/>
    </xf>
    <xf numFmtId="176" fontId="59" fillId="0" borderId="5" xfId="0" applyNumberFormat="1" applyFont="1" applyBorder="1" applyAlignment="1">
      <alignment horizontal="left" vertical="center"/>
    </xf>
    <xf numFmtId="176" fontId="97" fillId="15" borderId="5" xfId="0" applyNumberFormat="1" applyFont="1" applyFill="1" applyBorder="1" applyAlignment="1">
      <alignment horizontal="left" vertical="center"/>
    </xf>
    <xf numFmtId="176" fontId="100" fillId="0" borderId="66" xfId="0" applyNumberFormat="1" applyFont="1" applyBorder="1">
      <alignment vertical="center"/>
    </xf>
    <xf numFmtId="176" fontId="96" fillId="15" borderId="67" xfId="0" applyNumberFormat="1" applyFont="1" applyFill="1" applyBorder="1">
      <alignment vertical="center"/>
    </xf>
    <xf numFmtId="176" fontId="59" fillId="0" borderId="29" xfId="0" applyNumberFormat="1" applyFont="1" applyBorder="1" applyAlignment="1">
      <alignment horizontal="left" vertical="center"/>
    </xf>
    <xf numFmtId="176" fontId="59" fillId="10" borderId="4" xfId="0" applyNumberFormat="1" applyFont="1" applyFill="1" applyBorder="1" applyAlignment="1">
      <alignment horizontal="left" vertical="center"/>
    </xf>
    <xf numFmtId="176" fontId="88" fillId="10" borderId="56" xfId="0" applyNumberFormat="1" applyFont="1" applyFill="1" applyBorder="1" applyAlignment="1">
      <alignment horizontal="left" vertical="center"/>
    </xf>
    <xf numFmtId="176" fontId="8" fillId="17" borderId="49" xfId="0" applyNumberFormat="1" applyFont="1" applyFill="1" applyBorder="1" applyAlignment="1">
      <alignment horizontal="left" vertical="center"/>
    </xf>
    <xf numFmtId="176" fontId="8" fillId="10" borderId="31" xfId="0" applyNumberFormat="1" applyFont="1" applyFill="1" applyBorder="1">
      <alignment vertical="center"/>
    </xf>
    <xf numFmtId="176" fontId="8" fillId="10" borderId="37" xfId="0" applyNumberFormat="1" applyFont="1" applyFill="1" applyBorder="1">
      <alignment vertical="center"/>
    </xf>
    <xf numFmtId="176" fontId="77" fillId="10" borderId="43" xfId="0" applyNumberFormat="1" applyFont="1" applyFill="1" applyBorder="1">
      <alignment vertical="center"/>
    </xf>
    <xf numFmtId="176" fontId="58" fillId="17" borderId="17" xfId="0" applyNumberFormat="1" applyFont="1" applyFill="1" applyBorder="1" applyAlignment="1">
      <alignment horizontal="left" vertical="center"/>
    </xf>
    <xf numFmtId="176" fontId="59" fillId="17" borderId="3" xfId="0" applyNumberFormat="1" applyFont="1" applyFill="1" applyBorder="1" applyAlignment="1">
      <alignment horizontal="left" vertical="center"/>
    </xf>
    <xf numFmtId="176" fontId="57" fillId="17" borderId="3" xfId="0" applyNumberFormat="1" applyFont="1" applyFill="1" applyBorder="1" applyAlignment="1">
      <alignment horizontal="center" vertical="center"/>
    </xf>
    <xf numFmtId="176" fontId="8" fillId="17" borderId="3" xfId="0" applyNumberFormat="1" applyFont="1" applyFill="1" applyBorder="1" applyAlignment="1">
      <alignment horizontal="center" vertical="center"/>
    </xf>
    <xf numFmtId="176" fontId="55" fillId="17" borderId="18" xfId="0" applyNumberFormat="1" applyFont="1" applyFill="1" applyBorder="1" applyAlignment="1">
      <alignment horizontal="center" vertical="center"/>
    </xf>
    <xf numFmtId="176" fontId="8" fillId="17" borderId="51" xfId="0" applyNumberFormat="1" applyFont="1" applyFill="1" applyBorder="1" applyAlignment="1">
      <alignment horizontal="left" vertical="center"/>
    </xf>
    <xf numFmtId="176" fontId="100" fillId="17" borderId="25" xfId="0" applyNumberFormat="1" applyFont="1" applyFill="1" applyBorder="1">
      <alignment vertical="center"/>
    </xf>
    <xf numFmtId="176" fontId="76" fillId="17" borderId="2" xfId="0" applyNumberFormat="1" applyFont="1" applyFill="1" applyBorder="1" applyAlignment="1">
      <alignment horizontal="left" vertical="center"/>
    </xf>
    <xf numFmtId="176" fontId="57" fillId="17" borderId="2" xfId="0" applyNumberFormat="1" applyFont="1" applyFill="1" applyBorder="1" applyAlignment="1">
      <alignment horizontal="center" vertical="center"/>
    </xf>
    <xf numFmtId="176" fontId="23" fillId="17" borderId="49" xfId="0" applyNumberFormat="1" applyFont="1" applyFill="1" applyBorder="1" applyAlignment="1">
      <alignment horizontal="left" vertical="center"/>
    </xf>
    <xf numFmtId="176" fontId="75" fillId="0" borderId="49" xfId="0" applyNumberFormat="1" applyFont="1" applyBorder="1" applyAlignment="1">
      <alignment horizontal="left" vertical="center"/>
    </xf>
    <xf numFmtId="176" fontId="9" fillId="10" borderId="49" xfId="0" applyNumberFormat="1" applyFont="1" applyFill="1" applyBorder="1" applyAlignment="1">
      <alignment horizontal="left" vertical="center" wrapText="1"/>
    </xf>
    <xf numFmtId="176" fontId="8" fillId="10" borderId="33" xfId="0" applyNumberFormat="1" applyFont="1" applyFill="1" applyBorder="1" applyAlignment="1">
      <alignment horizontal="left" vertical="center" wrapText="1"/>
    </xf>
    <xf numFmtId="176" fontId="23" fillId="10" borderId="19" xfId="0" applyNumberFormat="1" applyFont="1" applyFill="1" applyBorder="1">
      <alignment vertical="center"/>
    </xf>
    <xf numFmtId="176" fontId="59" fillId="0" borderId="7" xfId="0" quotePrefix="1" applyNumberFormat="1" applyFont="1" applyBorder="1" applyAlignment="1">
      <alignment horizontal="left" vertical="center"/>
    </xf>
    <xf numFmtId="176" fontId="8" fillId="0" borderId="31" xfId="0" applyNumberFormat="1" applyFont="1" applyBorder="1" applyAlignment="1">
      <alignment horizontal="left" vertical="center"/>
    </xf>
    <xf numFmtId="176" fontId="8" fillId="0" borderId="43" xfId="0" applyNumberFormat="1" applyFont="1" applyBorder="1">
      <alignment vertical="center"/>
    </xf>
    <xf numFmtId="176" fontId="141" fillId="0" borderId="43" xfId="0" applyNumberFormat="1" applyFont="1" applyBorder="1" applyAlignment="1">
      <alignment horizontal="center" vertical="center"/>
    </xf>
    <xf numFmtId="176" fontId="8" fillId="0" borderId="43" xfId="0" applyNumberFormat="1" applyFont="1" applyBorder="1" applyAlignment="1">
      <alignment horizontal="center" vertical="center"/>
    </xf>
    <xf numFmtId="176" fontId="23" fillId="25" borderId="43" xfId="0" applyNumberFormat="1" applyFont="1" applyFill="1" applyBorder="1" applyAlignment="1">
      <alignment horizontal="center" vertical="center"/>
    </xf>
    <xf numFmtId="176" fontId="75" fillId="25" borderId="13" xfId="0" applyNumberFormat="1" applyFont="1" applyFill="1" applyBorder="1" applyAlignment="1">
      <alignment horizontal="center" vertical="center"/>
    </xf>
    <xf numFmtId="176" fontId="23" fillId="25" borderId="13" xfId="0" applyNumberFormat="1" applyFont="1" applyFill="1" applyBorder="1">
      <alignment vertical="center"/>
    </xf>
    <xf numFmtId="176" fontId="79" fillId="25" borderId="42" xfId="0" applyNumberFormat="1" applyFont="1" applyFill="1" applyBorder="1" applyAlignment="1">
      <alignment horizontal="center" vertical="center"/>
    </xf>
    <xf numFmtId="176" fontId="168" fillId="0" borderId="25" xfId="0" applyNumberFormat="1" applyFont="1" applyBorder="1">
      <alignment vertical="center"/>
    </xf>
    <xf numFmtId="176" fontId="169" fillId="0" borderId="2" xfId="0" applyNumberFormat="1" applyFont="1" applyBorder="1" applyAlignment="1">
      <alignment horizontal="left" vertical="center" wrapText="1"/>
    </xf>
    <xf numFmtId="176" fontId="170" fillId="0" borderId="2" xfId="0" applyNumberFormat="1" applyFont="1" applyBorder="1" applyAlignment="1">
      <alignment horizontal="center" vertical="center"/>
    </xf>
    <xf numFmtId="176" fontId="168" fillId="0" borderId="2" xfId="0" applyNumberFormat="1" applyFont="1" applyBorder="1" applyAlignment="1">
      <alignment horizontal="center" vertical="center"/>
    </xf>
    <xf numFmtId="176" fontId="170" fillId="0" borderId="22" xfId="0" applyNumberFormat="1" applyFont="1" applyBorder="1" applyAlignment="1">
      <alignment horizontal="center" vertical="center"/>
    </xf>
    <xf numFmtId="176" fontId="75" fillId="0" borderId="27" xfId="0" applyNumberFormat="1" applyFont="1" applyBorder="1" applyAlignment="1">
      <alignment horizontal="left" vertical="center"/>
    </xf>
    <xf numFmtId="176" fontId="126" fillId="0" borderId="25" xfId="0" applyNumberFormat="1" applyFont="1" applyBorder="1">
      <alignment vertical="center"/>
    </xf>
    <xf numFmtId="176" fontId="171" fillId="0" borderId="2" xfId="0" applyNumberFormat="1" applyFont="1" applyBorder="1" applyAlignment="1">
      <alignment horizontal="left" vertical="center" wrapText="1"/>
    </xf>
    <xf numFmtId="176" fontId="172" fillId="0" borderId="2" xfId="0" applyNumberFormat="1" applyFont="1" applyBorder="1" applyAlignment="1">
      <alignment horizontal="center" vertical="center"/>
    </xf>
    <xf numFmtId="176" fontId="126" fillId="0" borderId="2" xfId="0" applyNumberFormat="1" applyFont="1" applyBorder="1" applyAlignment="1">
      <alignment horizontal="center" vertical="center"/>
    </xf>
    <xf numFmtId="176" fontId="172" fillId="0" borderId="22" xfId="0" applyNumberFormat="1" applyFont="1" applyBorder="1" applyAlignment="1">
      <alignment horizontal="center" vertical="center"/>
    </xf>
    <xf numFmtId="176" fontId="173" fillId="0" borderId="25" xfId="0" applyNumberFormat="1" applyFont="1" applyBorder="1">
      <alignment vertical="center"/>
    </xf>
    <xf numFmtId="176" fontId="174" fillId="0" borderId="2" xfId="0" applyNumberFormat="1" applyFont="1" applyBorder="1" applyAlignment="1">
      <alignment horizontal="left" vertical="center" wrapText="1"/>
    </xf>
    <xf numFmtId="176" fontId="175" fillId="0" borderId="2" xfId="0" applyNumberFormat="1" applyFont="1" applyBorder="1" applyAlignment="1">
      <alignment horizontal="center" vertical="center"/>
    </xf>
    <xf numFmtId="176" fontId="173" fillId="0" borderId="2" xfId="0" applyNumberFormat="1" applyFont="1" applyBorder="1" applyAlignment="1">
      <alignment horizontal="center" vertical="center"/>
    </xf>
    <xf numFmtId="176" fontId="175" fillId="0" borderId="22" xfId="0" applyNumberFormat="1" applyFont="1" applyBorder="1" applyAlignment="1">
      <alignment horizontal="center" vertical="center"/>
    </xf>
    <xf numFmtId="176" fontId="8" fillId="0" borderId="25" xfId="0" applyNumberFormat="1" applyFont="1" applyBorder="1">
      <alignment vertical="center"/>
    </xf>
    <xf numFmtId="176" fontId="103" fillId="0" borderId="2" xfId="0" applyNumberFormat="1" applyFont="1" applyBorder="1" applyAlignment="1">
      <alignment horizontal="left" vertical="center" wrapText="1"/>
    </xf>
    <xf numFmtId="176" fontId="55" fillId="0" borderId="2" xfId="0" applyNumberFormat="1" applyFont="1" applyBorder="1" applyAlignment="1">
      <alignment horizontal="center" vertical="center"/>
    </xf>
    <xf numFmtId="176" fontId="176" fillId="0" borderId="25" xfId="0" applyNumberFormat="1" applyFont="1" applyBorder="1">
      <alignment vertical="center"/>
    </xf>
    <xf numFmtId="176" fontId="177" fillId="0" borderId="2" xfId="0" applyNumberFormat="1" applyFont="1" applyBorder="1" applyAlignment="1">
      <alignment horizontal="left" vertical="center" wrapText="1"/>
    </xf>
    <xf numFmtId="176" fontId="178" fillId="0" borderId="2" xfId="0" applyNumberFormat="1" applyFont="1" applyBorder="1" applyAlignment="1">
      <alignment horizontal="center" vertical="center"/>
    </xf>
    <xf numFmtId="176" fontId="176" fillId="0" borderId="2" xfId="0" applyNumberFormat="1" applyFont="1" applyBorder="1" applyAlignment="1">
      <alignment horizontal="center" vertical="center"/>
    </xf>
    <xf numFmtId="176" fontId="178" fillId="0" borderId="22" xfId="0" applyNumberFormat="1" applyFont="1" applyBorder="1" applyAlignment="1">
      <alignment horizontal="center" vertical="center"/>
    </xf>
    <xf numFmtId="176" fontId="179" fillId="0" borderId="25" xfId="0" applyNumberFormat="1" applyFont="1" applyBorder="1">
      <alignment vertical="center"/>
    </xf>
    <xf numFmtId="176" fontId="180" fillId="0" borderId="2" xfId="0" applyNumberFormat="1" applyFont="1" applyBorder="1" applyAlignment="1">
      <alignment horizontal="left" vertical="center" wrapText="1"/>
    </xf>
    <xf numFmtId="176" fontId="181" fillId="0" borderId="2" xfId="0" applyNumberFormat="1" applyFont="1" applyBorder="1" applyAlignment="1">
      <alignment horizontal="center" vertical="center"/>
    </xf>
    <xf numFmtId="176" fontId="179" fillId="0" borderId="2" xfId="0" applyNumberFormat="1" applyFont="1" applyBorder="1" applyAlignment="1">
      <alignment horizontal="center" vertical="center"/>
    </xf>
    <xf numFmtId="176" fontId="181" fillId="0" borderId="20" xfId="0" applyNumberFormat="1" applyFont="1" applyBorder="1" applyAlignment="1">
      <alignment horizontal="center" vertical="center"/>
    </xf>
    <xf numFmtId="176" fontId="11" fillId="0" borderId="2" xfId="0" quotePrefix="1" applyNumberFormat="1" applyFont="1" applyBorder="1" applyAlignment="1">
      <alignment horizontal="left" vertical="center"/>
    </xf>
    <xf numFmtId="176" fontId="135" fillId="10" borderId="17" xfId="0" applyNumberFormat="1" applyFont="1" applyFill="1" applyBorder="1">
      <alignment vertical="center"/>
    </xf>
    <xf numFmtId="176" fontId="105" fillId="10" borderId="10" xfId="0" quotePrefix="1" applyNumberFormat="1" applyFont="1" applyFill="1" applyBorder="1" applyAlignment="1">
      <alignment horizontal="left" vertical="center"/>
    </xf>
    <xf numFmtId="176" fontId="136" fillId="10" borderId="3" xfId="0" applyNumberFormat="1" applyFont="1" applyFill="1" applyBorder="1" applyAlignment="1">
      <alignment horizontal="center" vertical="center"/>
    </xf>
    <xf numFmtId="176" fontId="8" fillId="10" borderId="57" xfId="0" quotePrefix="1" applyNumberFormat="1" applyFont="1" applyFill="1" applyBorder="1" applyAlignment="1">
      <alignment horizontal="left" vertical="center" wrapText="1"/>
    </xf>
    <xf numFmtId="176" fontId="10" fillId="10" borderId="26" xfId="0" applyNumberFormat="1" applyFont="1" applyFill="1" applyBorder="1">
      <alignment vertical="center"/>
    </xf>
    <xf numFmtId="176" fontId="23" fillId="10" borderId="57" xfId="0" applyNumberFormat="1" applyFont="1" applyFill="1" applyBorder="1" applyAlignment="1">
      <alignment horizontal="left" vertical="center" wrapText="1"/>
    </xf>
    <xf numFmtId="176" fontId="96" fillId="15" borderId="26" xfId="0" applyNumberFormat="1" applyFont="1" applyFill="1" applyBorder="1">
      <alignment vertical="center"/>
    </xf>
    <xf numFmtId="176" fontId="58" fillId="0" borderId="36" xfId="0" applyNumberFormat="1" applyFont="1" applyBorder="1">
      <alignment vertical="center"/>
    </xf>
    <xf numFmtId="176" fontId="59" fillId="0" borderId="36" xfId="0" applyNumberFormat="1" applyFont="1" applyBorder="1" applyAlignment="1">
      <alignment horizontal="left" vertical="center"/>
    </xf>
    <xf numFmtId="176" fontId="57" fillId="0" borderId="36" xfId="0" applyNumberFormat="1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59" fillId="0" borderId="10" xfId="0" applyNumberFormat="1" applyFont="1" applyBorder="1" applyAlignment="1">
      <alignment horizontal="left" vertical="center"/>
    </xf>
    <xf numFmtId="176" fontId="77" fillId="0" borderId="31" xfId="0" applyNumberFormat="1" applyFont="1" applyBorder="1" applyAlignment="1">
      <alignment horizontal="left" vertical="center"/>
    </xf>
    <xf numFmtId="176" fontId="96" fillId="15" borderId="32" xfId="0" applyNumberFormat="1" applyFont="1" applyFill="1" applyBorder="1" applyAlignment="1">
      <alignment horizontal="left" vertical="center"/>
    </xf>
    <xf numFmtId="176" fontId="58" fillId="10" borderId="68" xfId="0" applyNumberFormat="1" applyFont="1" applyFill="1" applyBorder="1">
      <alignment vertical="center"/>
    </xf>
    <xf numFmtId="176" fontId="58" fillId="0" borderId="68" xfId="0" applyNumberFormat="1" applyFont="1" applyBorder="1">
      <alignment vertical="center"/>
    </xf>
    <xf numFmtId="176" fontId="58" fillId="0" borderId="69" xfId="0" applyNumberFormat="1" applyFont="1" applyBorder="1">
      <alignment vertical="center"/>
    </xf>
    <xf numFmtId="176" fontId="8" fillId="0" borderId="20" xfId="0" applyNumberFormat="1" applyFont="1" applyBorder="1" applyAlignment="1">
      <alignment horizontal="left" vertical="center"/>
    </xf>
    <xf numFmtId="176" fontId="11" fillId="0" borderId="6" xfId="0" quotePrefix="1" applyNumberFormat="1" applyFont="1" applyBorder="1" applyAlignment="1">
      <alignment horizontal="left" vertical="center"/>
    </xf>
    <xf numFmtId="176" fontId="55" fillId="0" borderId="6" xfId="0" applyNumberFormat="1" applyFont="1" applyBorder="1" applyAlignment="1">
      <alignment horizontal="center" vertical="center"/>
    </xf>
    <xf numFmtId="176" fontId="8" fillId="0" borderId="50" xfId="0" applyNumberFormat="1" applyFont="1" applyBorder="1" applyAlignment="1">
      <alignment horizontal="left" vertical="center"/>
    </xf>
    <xf numFmtId="176" fontId="139" fillId="0" borderId="22" xfId="0" applyNumberFormat="1" applyFont="1" applyBorder="1" applyAlignment="1">
      <alignment horizontal="center" vertical="center"/>
    </xf>
    <xf numFmtId="176" fontId="84" fillId="0" borderId="43" xfId="0" applyNumberFormat="1" applyFont="1" applyBorder="1" applyAlignment="1">
      <alignment horizontal="left" vertical="center"/>
    </xf>
    <xf numFmtId="176" fontId="182" fillId="0" borderId="15" xfId="0" applyNumberFormat="1" applyFont="1" applyBorder="1">
      <alignment vertical="center"/>
    </xf>
    <xf numFmtId="176" fontId="183" fillId="0" borderId="2" xfId="0" applyNumberFormat="1" applyFont="1" applyBorder="1" applyAlignment="1">
      <alignment horizontal="left" vertical="center"/>
    </xf>
    <xf numFmtId="176" fontId="95" fillId="0" borderId="2" xfId="0" applyNumberFormat="1" applyFont="1" applyBorder="1" applyAlignment="1">
      <alignment horizontal="center" vertical="center"/>
    </xf>
    <xf numFmtId="176" fontId="130" fillId="0" borderId="12" xfId="0" applyNumberFormat="1" applyFont="1" applyBorder="1" applyAlignment="1">
      <alignment horizontal="center" vertical="center" textRotation="255"/>
    </xf>
    <xf numFmtId="176" fontId="130" fillId="0" borderId="13" xfId="0" applyNumberFormat="1" applyFont="1" applyBorder="1" applyAlignment="1">
      <alignment horizontal="center" vertical="center" textRotation="255"/>
    </xf>
    <xf numFmtId="176" fontId="130" fillId="0" borderId="14" xfId="0" applyNumberFormat="1" applyFont="1" applyBorder="1" applyAlignment="1">
      <alignment horizontal="center" vertical="center" textRotation="255"/>
    </xf>
    <xf numFmtId="176" fontId="110" fillId="0" borderId="13" xfId="0" applyNumberFormat="1" applyFont="1" applyBorder="1" applyAlignment="1">
      <alignment horizontal="center" vertical="center" textRotation="255"/>
    </xf>
    <xf numFmtId="176" fontId="110" fillId="0" borderId="14" xfId="0" applyNumberFormat="1" applyFont="1" applyBorder="1" applyAlignment="1">
      <alignment horizontal="center" vertical="center" textRotation="255"/>
    </xf>
    <xf numFmtId="176" fontId="106" fillId="0" borderId="13" xfId="0" applyNumberFormat="1" applyFont="1" applyBorder="1" applyAlignment="1">
      <alignment horizontal="center" vertical="center" textRotation="255"/>
    </xf>
    <xf numFmtId="176" fontId="106" fillId="0" borderId="14" xfId="0" applyNumberFormat="1" applyFont="1" applyBorder="1" applyAlignment="1">
      <alignment horizontal="center" vertical="center" textRotation="255"/>
    </xf>
    <xf numFmtId="176" fontId="160" fillId="27" borderId="13" xfId="0" applyNumberFormat="1" applyFont="1" applyFill="1" applyBorder="1" applyAlignment="1">
      <alignment horizontal="center" vertical="center" textRotation="255"/>
    </xf>
    <xf numFmtId="176" fontId="160" fillId="27" borderId="14" xfId="0" applyNumberFormat="1" applyFont="1" applyFill="1" applyBorder="1" applyAlignment="1">
      <alignment horizontal="center" vertical="center" textRotation="255"/>
    </xf>
    <xf numFmtId="176" fontId="166" fillId="28" borderId="12" xfId="0" applyNumberFormat="1" applyFont="1" applyFill="1" applyBorder="1" applyAlignment="1">
      <alignment horizontal="center" vertical="center" textRotation="255"/>
    </xf>
    <xf numFmtId="176" fontId="166" fillId="28" borderId="13" xfId="0" applyNumberFormat="1" applyFont="1" applyFill="1" applyBorder="1" applyAlignment="1">
      <alignment horizontal="center" vertical="center" textRotation="255"/>
    </xf>
    <xf numFmtId="176" fontId="166" fillId="28" borderId="14" xfId="0" applyNumberFormat="1" applyFont="1" applyFill="1" applyBorder="1" applyAlignment="1">
      <alignment horizontal="center" vertical="center" textRotation="255"/>
    </xf>
    <xf numFmtId="176" fontId="73" fillId="0" borderId="13" xfId="0" applyNumberFormat="1" applyFont="1" applyBorder="1" applyAlignment="1">
      <alignment horizontal="center" vertical="center" textRotation="255"/>
    </xf>
    <xf numFmtId="176" fontId="73" fillId="0" borderId="14" xfId="0" applyNumberFormat="1" applyFont="1" applyBorder="1" applyAlignment="1">
      <alignment horizontal="center" vertical="center" textRotation="255"/>
    </xf>
    <xf numFmtId="176" fontId="67" fillId="0" borderId="12" xfId="0" applyNumberFormat="1" applyFont="1" applyBorder="1" applyAlignment="1">
      <alignment horizontal="center" vertical="center" textRotation="255"/>
    </xf>
    <xf numFmtId="176" fontId="67" fillId="0" borderId="13" xfId="0" applyNumberFormat="1" applyFont="1" applyBorder="1" applyAlignment="1">
      <alignment horizontal="center" vertical="center" textRotation="255"/>
    </xf>
    <xf numFmtId="176" fontId="67" fillId="0" borderId="14" xfId="0" applyNumberFormat="1" applyFont="1" applyBorder="1" applyAlignment="1">
      <alignment horizontal="center" vertical="center" textRotation="255"/>
    </xf>
    <xf numFmtId="176" fontId="73" fillId="9" borderId="13" xfId="0" applyNumberFormat="1" applyFont="1" applyFill="1" applyBorder="1" applyAlignment="1">
      <alignment horizontal="center" vertical="center" textRotation="255"/>
    </xf>
    <xf numFmtId="176" fontId="73" fillId="9" borderId="14" xfId="0" applyNumberFormat="1" applyFont="1" applyFill="1" applyBorder="1" applyAlignment="1">
      <alignment horizontal="center" vertical="center" textRotation="255"/>
    </xf>
    <xf numFmtId="176" fontId="73" fillId="0" borderId="40" xfId="0" applyNumberFormat="1" applyFont="1" applyBorder="1" applyAlignment="1">
      <alignment horizontal="center" vertical="center" textRotation="255"/>
    </xf>
    <xf numFmtId="176" fontId="73" fillId="0" borderId="35" xfId="0" applyNumberFormat="1" applyFont="1" applyBorder="1" applyAlignment="1">
      <alignment horizontal="center" vertical="center" textRotation="255"/>
    </xf>
    <xf numFmtId="176" fontId="73" fillId="0" borderId="41" xfId="0" applyNumberFormat="1" applyFont="1" applyBorder="1" applyAlignment="1">
      <alignment horizontal="center" vertical="center" textRotation="255"/>
    </xf>
    <xf numFmtId="176" fontId="64" fillId="0" borderId="12" xfId="0" applyNumberFormat="1" applyFont="1" applyBorder="1" applyAlignment="1">
      <alignment horizontal="center" vertical="center" textRotation="255"/>
    </xf>
    <xf numFmtId="176" fontId="64" fillId="0" borderId="13" xfId="0" applyNumberFormat="1" applyFont="1" applyBorder="1" applyAlignment="1">
      <alignment horizontal="center" vertical="center" textRotation="255"/>
    </xf>
    <xf numFmtId="176" fontId="64" fillId="0" borderId="14" xfId="0" applyNumberFormat="1" applyFont="1" applyBorder="1" applyAlignment="1">
      <alignment horizontal="center" vertical="center" textRotation="255"/>
    </xf>
    <xf numFmtId="176" fontId="74" fillId="0" borderId="42" xfId="0" applyNumberFormat="1" applyFont="1" applyBorder="1" applyAlignment="1">
      <alignment horizontal="center" vertical="center" textRotation="255"/>
    </xf>
    <xf numFmtId="176" fontId="74" fillId="0" borderId="65" xfId="0" applyNumberFormat="1" applyFont="1" applyBorder="1" applyAlignment="1">
      <alignment horizontal="center" vertical="center" textRotation="255"/>
    </xf>
    <xf numFmtId="176" fontId="74" fillId="0" borderId="32" xfId="0" applyNumberFormat="1" applyFont="1" applyBorder="1" applyAlignment="1">
      <alignment horizontal="center" vertical="center" textRotation="255"/>
    </xf>
    <xf numFmtId="176" fontId="74" fillId="0" borderId="43" xfId="0" applyNumberFormat="1" applyFont="1" applyBorder="1" applyAlignment="1">
      <alignment horizontal="center" vertical="center" textRotation="255"/>
    </xf>
    <xf numFmtId="176" fontId="74" fillId="0" borderId="33" xfId="0" applyNumberFormat="1" applyFont="1" applyBorder="1" applyAlignment="1">
      <alignment horizontal="center" vertical="center" textRotation="255"/>
    </xf>
    <xf numFmtId="176" fontId="67" fillId="10" borderId="28" xfId="0" applyNumberFormat="1" applyFont="1" applyFill="1" applyBorder="1" applyAlignment="1">
      <alignment horizontal="center" vertical="center" textRotation="255"/>
    </xf>
    <xf numFmtId="176" fontId="67" fillId="10" borderId="58" xfId="0" applyNumberFormat="1" applyFont="1" applyFill="1" applyBorder="1" applyAlignment="1">
      <alignment horizontal="center" vertical="center" textRotation="255"/>
    </xf>
    <xf numFmtId="176" fontId="67" fillId="10" borderId="67" xfId="0" applyNumberFormat="1" applyFont="1" applyFill="1" applyBorder="1" applyAlignment="1">
      <alignment horizontal="center" vertical="center" textRotation="255"/>
    </xf>
    <xf numFmtId="176" fontId="114" fillId="0" borderId="12" xfId="0" applyNumberFormat="1" applyFont="1" applyBorder="1" applyAlignment="1">
      <alignment horizontal="center" vertical="center" textRotation="255" wrapText="1"/>
    </xf>
    <xf numFmtId="176" fontId="114" fillId="0" borderId="13" xfId="0" applyNumberFormat="1" applyFont="1" applyBorder="1" applyAlignment="1">
      <alignment horizontal="center" vertical="center" textRotation="255" wrapText="1"/>
    </xf>
    <xf numFmtId="176" fontId="114" fillId="0" borderId="14" xfId="0" applyNumberFormat="1" applyFont="1" applyBorder="1" applyAlignment="1">
      <alignment horizontal="center" vertical="center" textRotation="255" wrapText="1"/>
    </xf>
    <xf numFmtId="176" fontId="57" fillId="0" borderId="8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73" fillId="0" borderId="12" xfId="0" applyNumberFormat="1" applyFont="1" applyBorder="1" applyAlignment="1">
      <alignment horizontal="center" vertical="center" textRotation="255"/>
    </xf>
    <xf numFmtId="176" fontId="57" fillId="0" borderId="55" xfId="0" applyNumberFormat="1" applyFont="1" applyBorder="1" applyAlignment="1">
      <alignment horizontal="center" vertical="center"/>
    </xf>
    <xf numFmtId="176" fontId="57" fillId="0" borderId="8" xfId="0" applyNumberFormat="1" applyFont="1" applyBorder="1" applyAlignment="1">
      <alignment horizontal="center" vertical="center" wrapText="1"/>
    </xf>
    <xf numFmtId="176" fontId="57" fillId="0" borderId="5" xfId="0" applyNumberFormat="1" applyFont="1" applyBorder="1" applyAlignment="1">
      <alignment horizontal="center" vertical="center" wrapText="1"/>
    </xf>
    <xf numFmtId="176" fontId="69" fillId="0" borderId="13" xfId="0" applyNumberFormat="1" applyFont="1" applyBorder="1" applyAlignment="1">
      <alignment horizontal="center" vertical="center" textRotation="255"/>
    </xf>
    <xf numFmtId="176" fontId="69" fillId="0" borderId="35" xfId="0" applyNumberFormat="1" applyFont="1" applyBorder="1" applyAlignment="1">
      <alignment horizontal="center" vertical="center" textRotation="255"/>
    </xf>
    <xf numFmtId="176" fontId="69" fillId="0" borderId="41" xfId="0" applyNumberFormat="1" applyFont="1" applyBorder="1" applyAlignment="1">
      <alignment horizontal="center" vertical="center" textRotation="255"/>
    </xf>
    <xf numFmtId="176" fontId="73" fillId="7" borderId="13" xfId="0" applyNumberFormat="1" applyFont="1" applyFill="1" applyBorder="1" applyAlignment="1">
      <alignment horizontal="center" vertical="center" textRotation="255"/>
    </xf>
    <xf numFmtId="176" fontId="73" fillId="7" borderId="14" xfId="0" applyNumberFormat="1" applyFont="1" applyFill="1" applyBorder="1" applyAlignment="1">
      <alignment horizontal="center" vertical="center" textRotation="255"/>
    </xf>
    <xf numFmtId="176" fontId="155" fillId="0" borderId="0" xfId="0" applyNumberFormat="1" applyFont="1" applyAlignment="1">
      <alignment horizontal="center" vertical="top" wrapText="1"/>
    </xf>
    <xf numFmtId="176" fontId="89" fillId="0" borderId="47" xfId="0" applyNumberFormat="1" applyFont="1" applyBorder="1" applyAlignment="1">
      <alignment horizontal="center" vertical="center"/>
    </xf>
    <xf numFmtId="176" fontId="66" fillId="0" borderId="40" xfId="0" applyNumberFormat="1" applyFont="1" applyBorder="1" applyAlignment="1">
      <alignment horizontal="center" vertical="center" textRotation="255"/>
    </xf>
    <xf numFmtId="176" fontId="66" fillId="0" borderId="35" xfId="0" applyNumberFormat="1" applyFont="1" applyBorder="1" applyAlignment="1">
      <alignment horizontal="center" vertical="center" textRotation="255"/>
    </xf>
    <xf numFmtId="176" fontId="66" fillId="0" borderId="41" xfId="0" applyNumberFormat="1" applyFont="1" applyBorder="1" applyAlignment="1">
      <alignment horizontal="center" vertical="center" textRotation="255"/>
    </xf>
    <xf numFmtId="176" fontId="66" fillId="0" borderId="13" xfId="0" applyNumberFormat="1" applyFont="1" applyBorder="1" applyAlignment="1">
      <alignment horizontal="center" vertical="center" textRotation="255"/>
    </xf>
    <xf numFmtId="176" fontId="66" fillId="0" borderId="14" xfId="0" applyNumberFormat="1" applyFont="1" applyBorder="1" applyAlignment="1">
      <alignment horizontal="center" vertical="center" textRotation="255"/>
    </xf>
    <xf numFmtId="176" fontId="67" fillId="0" borderId="40" xfId="0" applyNumberFormat="1" applyFont="1" applyBorder="1" applyAlignment="1">
      <alignment horizontal="center" vertical="center" textRotation="255"/>
    </xf>
    <xf numFmtId="176" fontId="67" fillId="0" borderId="35" xfId="0" applyNumberFormat="1" applyFont="1" applyBorder="1" applyAlignment="1">
      <alignment horizontal="center" vertical="center" textRotation="255"/>
    </xf>
    <xf numFmtId="176" fontId="67" fillId="0" borderId="41" xfId="0" applyNumberFormat="1" applyFont="1" applyBorder="1" applyAlignment="1">
      <alignment horizontal="center" vertical="center" textRotation="255"/>
    </xf>
    <xf numFmtId="176" fontId="96" fillId="15" borderId="12" xfId="0" applyNumberFormat="1" applyFont="1" applyFill="1" applyBorder="1" applyAlignment="1">
      <alignment horizontal="center" vertical="center" textRotation="255"/>
    </xf>
    <xf numFmtId="176" fontId="96" fillId="15" borderId="13" xfId="0" applyNumberFormat="1" applyFont="1" applyFill="1" applyBorder="1" applyAlignment="1">
      <alignment horizontal="center" vertical="center" textRotation="255"/>
    </xf>
    <xf numFmtId="176" fontId="108" fillId="19" borderId="13" xfId="0" applyNumberFormat="1" applyFont="1" applyFill="1" applyBorder="1" applyAlignment="1">
      <alignment horizontal="center" vertical="center" textRotation="255"/>
    </xf>
    <xf numFmtId="176" fontId="108" fillId="19" borderId="14" xfId="0" applyNumberFormat="1" applyFont="1" applyFill="1" applyBorder="1" applyAlignment="1">
      <alignment horizontal="center" vertical="center" textRotation="255"/>
    </xf>
    <xf numFmtId="177" fontId="71" fillId="2" borderId="8" xfId="0" applyNumberFormat="1" applyFont="1" applyFill="1" applyBorder="1" applyAlignment="1">
      <alignment horizontal="center" vertical="center"/>
    </xf>
    <xf numFmtId="177" fontId="71" fillId="2" borderId="5" xfId="0" applyNumberFormat="1" applyFont="1" applyFill="1" applyBorder="1" applyAlignment="1">
      <alignment horizontal="center" vertical="center"/>
    </xf>
    <xf numFmtId="177" fontId="71" fillId="2" borderId="55" xfId="0" applyNumberFormat="1" applyFont="1" applyFill="1" applyBorder="1" applyAlignment="1">
      <alignment horizontal="center" vertical="center"/>
    </xf>
    <xf numFmtId="176" fontId="89" fillId="10" borderId="12" xfId="0" applyNumberFormat="1" applyFont="1" applyFill="1" applyBorder="1" applyAlignment="1">
      <alignment horizontal="center" vertical="center" textRotation="255"/>
    </xf>
    <xf numFmtId="176" fontId="89" fillId="10" borderId="35" xfId="0" applyNumberFormat="1" applyFont="1" applyFill="1" applyBorder="1" applyAlignment="1">
      <alignment horizontal="center" vertical="center" textRotation="255"/>
    </xf>
    <xf numFmtId="176" fontId="89" fillId="10" borderId="13" xfId="0" applyNumberFormat="1" applyFont="1" applyFill="1" applyBorder="1" applyAlignment="1">
      <alignment horizontal="center" vertical="center" textRotation="255"/>
    </xf>
    <xf numFmtId="176" fontId="89" fillId="10" borderId="14" xfId="0" applyNumberFormat="1" applyFont="1" applyFill="1" applyBorder="1" applyAlignment="1">
      <alignment horizontal="center" vertical="center" textRotation="255"/>
    </xf>
    <xf numFmtId="176" fontId="69" fillId="0" borderId="12" xfId="0" applyNumberFormat="1" applyFont="1" applyBorder="1" applyAlignment="1">
      <alignment horizontal="center" vertical="center" textRotation="255"/>
    </xf>
    <xf numFmtId="176" fontId="69" fillId="0" borderId="14" xfId="0" applyNumberFormat="1" applyFont="1" applyBorder="1" applyAlignment="1">
      <alignment horizontal="center" vertical="center" textRotation="255"/>
    </xf>
    <xf numFmtId="176" fontId="68" fillId="0" borderId="12" xfId="0" applyNumberFormat="1" applyFont="1" applyBorder="1" applyAlignment="1">
      <alignment horizontal="center" vertical="center" textRotation="255"/>
    </xf>
    <xf numFmtId="176" fontId="68" fillId="0" borderId="13" xfId="0" applyNumberFormat="1" applyFont="1" applyBorder="1" applyAlignment="1">
      <alignment horizontal="center" vertical="center" textRotation="255"/>
    </xf>
    <xf numFmtId="176" fontId="68" fillId="0" borderId="35" xfId="0" applyNumberFormat="1" applyFont="1" applyBorder="1" applyAlignment="1">
      <alignment horizontal="center" vertical="center" textRotation="255"/>
    </xf>
    <xf numFmtId="176" fontId="68" fillId="0" borderId="14" xfId="0" applyNumberFormat="1" applyFont="1" applyBorder="1" applyAlignment="1">
      <alignment horizontal="center" vertical="center" textRotation="255"/>
    </xf>
    <xf numFmtId="176" fontId="10" fillId="0" borderId="0" xfId="0" applyNumberFormat="1" applyFont="1" applyAlignment="1">
      <alignment horizontal="center" vertical="top" wrapText="1"/>
    </xf>
    <xf numFmtId="176" fontId="57" fillId="0" borderId="11" xfId="0" applyNumberFormat="1" applyFont="1" applyBorder="1" applyAlignment="1">
      <alignment horizontal="center" vertical="center"/>
    </xf>
    <xf numFmtId="176" fontId="61" fillId="0" borderId="0" xfId="0" applyNumberFormat="1" applyFont="1" applyAlignment="1">
      <alignment horizontal="left" vertical="top"/>
    </xf>
    <xf numFmtId="6" fontId="57" fillId="0" borderId="8" xfId="0" applyNumberFormat="1" applyFont="1" applyBorder="1" applyAlignment="1">
      <alignment horizontal="center" vertical="center"/>
    </xf>
    <xf numFmtId="6" fontId="57" fillId="0" borderId="5" xfId="0" applyNumberFormat="1" applyFont="1" applyBorder="1" applyAlignment="1">
      <alignment horizontal="center" vertical="center"/>
    </xf>
    <xf numFmtId="6" fontId="10" fillId="0" borderId="9" xfId="0" applyNumberFormat="1" applyFont="1" applyBorder="1" applyAlignment="1">
      <alignment horizontal="center" vertical="center" wrapText="1"/>
    </xf>
    <xf numFmtId="6" fontId="10" fillId="0" borderId="29" xfId="0" applyNumberFormat="1" applyFont="1" applyBorder="1" applyAlignment="1">
      <alignment horizontal="center" vertical="center" wrapText="1"/>
    </xf>
    <xf numFmtId="0" fontId="117" fillId="0" borderId="0" xfId="0" applyFont="1" applyAlignment="1">
      <alignment horizontal="center" vertical="center"/>
    </xf>
  </cellXfs>
  <cellStyles count="14">
    <cellStyle name="一般" xfId="0" builtinId="0"/>
    <cellStyle name="一般 12" xfId="3" xr:uid="{00000000-0005-0000-0000-000001000000}"/>
    <cellStyle name="一般 18" xfId="12" xr:uid="{00000000-0005-0000-0000-000002000000}"/>
    <cellStyle name="一般 2" xfId="1" xr:uid="{00000000-0005-0000-0000-000003000000}"/>
    <cellStyle name="一般 2 2" xfId="4" xr:uid="{00000000-0005-0000-0000-000004000000}"/>
    <cellStyle name="一般 2 2 2" xfId="5" xr:uid="{00000000-0005-0000-0000-000005000000}"/>
    <cellStyle name="一般 2 2 2 2" xfId="6" xr:uid="{00000000-0005-0000-0000-000006000000}"/>
    <cellStyle name="一般 2 2 2 3" xfId="11" xr:uid="{00000000-0005-0000-0000-000007000000}"/>
    <cellStyle name="一般 2 3" xfId="10" xr:uid="{00000000-0005-0000-0000-000008000000}"/>
    <cellStyle name="一般 2 3 3" xfId="7" xr:uid="{00000000-0005-0000-0000-000009000000}"/>
    <cellStyle name="一般 3" xfId="9" xr:uid="{00000000-0005-0000-0000-00000A000000}"/>
    <cellStyle name="一般 3 2" xfId="13" xr:uid="{00000000-0005-0000-0000-00000B000000}"/>
    <cellStyle name="超連結" xfId="2" builtinId="8"/>
    <cellStyle name="超連結 2" xfId="8" xr:uid="{00000000-0005-0000-0000-00000D000000}"/>
  </cellStyles>
  <dxfs count="0"/>
  <tableStyles count="0" defaultTableStyle="TableStyleMedium2" defaultPivotStyle="PivotStyleLight16"/>
  <colors>
    <mruColors>
      <color rgb="FF8238BA"/>
      <color rgb="FFFFFFCC"/>
      <color rgb="FFFFFF99"/>
      <color rgb="FFFCF970"/>
      <color rgb="FFFFCCCC"/>
      <color rgb="FF0000FF"/>
      <color rgb="FFFFCCFF"/>
      <color rgb="FF99FFCC"/>
      <color rgb="FF99CC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yecolor.com.tw/index.php" TargetMode="External"/><Relationship Id="rId2" Type="http://schemas.openxmlformats.org/officeDocument/2006/relationships/hyperlink" Target="http://eyecolor.com.tw/index.php" TargetMode="External"/><Relationship Id="rId1" Type="http://schemas.openxmlformats.org/officeDocument/2006/relationships/hyperlink" Target="http://eyecolor.com.tw/index.php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14"/>
  <sheetViews>
    <sheetView tabSelected="1" zoomScale="85" zoomScaleNormal="8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I3" sqref="I1:BP1048576"/>
    </sheetView>
  </sheetViews>
  <sheetFormatPr defaultColWidth="8.90625" defaultRowHeight="35.5"/>
  <cols>
    <col min="1" max="1" width="6.1796875" style="75" customWidth="1"/>
    <col min="2" max="2" width="60.36328125" style="77" customWidth="1"/>
    <col min="3" max="3" width="14.81640625" style="294" customWidth="1"/>
    <col min="4" max="4" width="7.90625" style="60" customWidth="1"/>
    <col min="5" max="5" width="9.81640625" style="51" customWidth="1"/>
    <col min="6" max="6" width="8.36328125" style="57" customWidth="1"/>
    <col min="7" max="7" width="49" style="171" customWidth="1"/>
    <col min="8" max="8" width="11.453125" style="59" bestFit="1" customWidth="1"/>
    <col min="9" max="9" width="8.453125" style="60" customWidth="1"/>
    <col min="10" max="10" width="8" style="60" customWidth="1"/>
    <col min="11" max="11" width="7.81640625" style="60" customWidth="1"/>
    <col min="12" max="12" width="6.08984375" style="60" customWidth="1"/>
    <col min="13" max="63" width="6.90625" style="60" customWidth="1"/>
    <col min="64" max="68" width="6.90625" style="59" customWidth="1"/>
    <col min="69" max="16384" width="8.90625" style="59"/>
  </cols>
  <sheetData>
    <row r="1" spans="1:68" ht="33" customHeight="1">
      <c r="A1" s="694" t="s">
        <v>807</v>
      </c>
      <c r="B1" s="694"/>
      <c r="C1" s="694"/>
      <c r="D1" s="694"/>
      <c r="E1" s="694"/>
      <c r="F1" s="694"/>
      <c r="G1" s="165"/>
      <c r="H1" s="213" t="s">
        <v>573</v>
      </c>
      <c r="I1" s="686"/>
      <c r="J1" s="684"/>
      <c r="K1" s="687"/>
      <c r="L1" s="688"/>
      <c r="M1" s="683"/>
      <c r="N1" s="684"/>
      <c r="O1" s="683"/>
      <c r="P1" s="684"/>
      <c r="Q1" s="687"/>
      <c r="R1" s="688"/>
      <c r="S1" s="687"/>
      <c r="T1" s="688"/>
      <c r="U1" s="683"/>
      <c r="V1" s="684"/>
      <c r="W1" s="683"/>
      <c r="X1" s="684"/>
      <c r="Y1" s="683"/>
      <c r="Z1" s="684"/>
      <c r="AA1" s="683"/>
      <c r="AB1" s="684"/>
      <c r="AC1" s="683"/>
      <c r="AD1" s="684"/>
      <c r="AE1" s="683"/>
      <c r="AF1" s="684"/>
      <c r="AG1" s="683"/>
      <c r="AH1" s="684"/>
      <c r="AI1" s="683"/>
      <c r="AJ1" s="684"/>
      <c r="AK1" s="683"/>
      <c r="AL1" s="684"/>
      <c r="AM1" s="683"/>
      <c r="AN1" s="684"/>
      <c r="AO1" s="683"/>
      <c r="AP1" s="684"/>
      <c r="AQ1" s="683"/>
      <c r="AR1" s="684"/>
      <c r="AS1" s="683"/>
      <c r="AT1" s="684"/>
      <c r="AU1" s="683"/>
      <c r="AV1" s="684"/>
      <c r="AW1" s="683"/>
      <c r="AX1" s="684"/>
      <c r="AY1" s="683"/>
      <c r="AZ1" s="684"/>
      <c r="BA1" s="683"/>
      <c r="BB1" s="684"/>
      <c r="BC1" s="683"/>
      <c r="BD1" s="684"/>
      <c r="BE1" s="683"/>
      <c r="BF1" s="684"/>
      <c r="BG1" s="683"/>
      <c r="BH1" s="684"/>
      <c r="BI1" s="683"/>
      <c r="BJ1" s="684"/>
      <c r="BK1" s="683"/>
      <c r="BL1" s="684"/>
      <c r="BM1" s="683"/>
      <c r="BN1" s="684"/>
      <c r="BO1" s="683"/>
      <c r="BP1" s="684"/>
    </row>
    <row r="2" spans="1:68" s="76" customFormat="1" ht="29.4" customHeight="1" thickBot="1">
      <c r="A2" s="695" t="s">
        <v>808</v>
      </c>
      <c r="B2" s="695"/>
      <c r="C2" s="695"/>
      <c r="D2" s="358"/>
      <c r="E2" s="358"/>
      <c r="F2" s="358"/>
      <c r="G2" s="166"/>
      <c r="H2" s="457" t="s">
        <v>572</v>
      </c>
      <c r="I2" s="710">
        <f>I592+J592</f>
        <v>0</v>
      </c>
      <c r="J2" s="709"/>
      <c r="K2" s="708">
        <f>K592+L592</f>
        <v>0</v>
      </c>
      <c r="L2" s="709"/>
      <c r="M2" s="708">
        <f>M592+N592</f>
        <v>0</v>
      </c>
      <c r="N2" s="709"/>
      <c r="O2" s="708">
        <f>O592+P592</f>
        <v>0</v>
      </c>
      <c r="P2" s="709"/>
      <c r="Q2" s="708">
        <f>Q592+R592</f>
        <v>0</v>
      </c>
      <c r="R2" s="709"/>
      <c r="S2" s="708">
        <f>S592+T592</f>
        <v>0</v>
      </c>
      <c r="T2" s="709"/>
      <c r="U2" s="708">
        <f>U592+V592</f>
        <v>0</v>
      </c>
      <c r="V2" s="709"/>
      <c r="W2" s="708">
        <f>W592+X592</f>
        <v>0</v>
      </c>
      <c r="X2" s="709"/>
      <c r="Y2" s="708">
        <f>Y592+Z592</f>
        <v>0</v>
      </c>
      <c r="Z2" s="709"/>
      <c r="AA2" s="708">
        <f>AA592+AB592</f>
        <v>0</v>
      </c>
      <c r="AB2" s="709"/>
      <c r="AC2" s="708">
        <f>AC592+AD592</f>
        <v>0</v>
      </c>
      <c r="AD2" s="709"/>
      <c r="AE2" s="708">
        <f>AE592+AF592</f>
        <v>0</v>
      </c>
      <c r="AF2" s="709"/>
      <c r="AG2" s="708">
        <f>AG592+AH592</f>
        <v>0</v>
      </c>
      <c r="AH2" s="709"/>
      <c r="AI2" s="708">
        <f>AI592+AJ592</f>
        <v>0</v>
      </c>
      <c r="AJ2" s="709"/>
      <c r="AK2" s="708">
        <f>AK592+AL592</f>
        <v>0</v>
      </c>
      <c r="AL2" s="709"/>
      <c r="AM2" s="708">
        <f>AM592+AN592</f>
        <v>0</v>
      </c>
      <c r="AN2" s="709"/>
      <c r="AO2" s="708">
        <f>AO592+AP592</f>
        <v>0</v>
      </c>
      <c r="AP2" s="709"/>
      <c r="AQ2" s="708">
        <f>AQ592+AR592</f>
        <v>0</v>
      </c>
      <c r="AR2" s="709"/>
      <c r="AS2" s="708">
        <f>AS592+AT592</f>
        <v>0</v>
      </c>
      <c r="AT2" s="709"/>
      <c r="AU2" s="708">
        <f>AU592+AV592</f>
        <v>0</v>
      </c>
      <c r="AV2" s="709"/>
      <c r="AW2" s="708">
        <f>AW592+AX592</f>
        <v>0</v>
      </c>
      <c r="AX2" s="709"/>
      <c r="AY2" s="708">
        <f>AY592+AZ592</f>
        <v>0</v>
      </c>
      <c r="AZ2" s="709"/>
      <c r="BA2" s="708">
        <f>BA592+BB592</f>
        <v>0</v>
      </c>
      <c r="BB2" s="709"/>
      <c r="BC2" s="708">
        <f>BC592+BD592</f>
        <v>0</v>
      </c>
      <c r="BD2" s="709"/>
      <c r="BE2" s="708">
        <f>BE592+BF592</f>
        <v>0</v>
      </c>
      <c r="BF2" s="709"/>
      <c r="BG2" s="708">
        <f>BG592+BH592</f>
        <v>0</v>
      </c>
      <c r="BH2" s="709"/>
      <c r="BI2" s="708">
        <f>BI592+BJ592</f>
        <v>0</v>
      </c>
      <c r="BJ2" s="709"/>
      <c r="BK2" s="708">
        <f>BK592+BL592</f>
        <v>0</v>
      </c>
      <c r="BL2" s="709"/>
      <c r="BM2" s="708">
        <f>BM592+BN592</f>
        <v>0</v>
      </c>
      <c r="BN2" s="709"/>
      <c r="BO2" s="708">
        <f>BO592+BP592</f>
        <v>0</v>
      </c>
      <c r="BP2" s="709"/>
    </row>
    <row r="3" spans="1:68" s="63" customFormat="1" ht="25.25" customHeight="1" thickBot="1">
      <c r="A3" s="125" t="s">
        <v>0</v>
      </c>
      <c r="B3" s="124" t="s">
        <v>89</v>
      </c>
      <c r="C3" s="261"/>
      <c r="D3" s="126" t="s">
        <v>205</v>
      </c>
      <c r="E3" s="127" t="s">
        <v>3</v>
      </c>
      <c r="F3" s="148" t="s">
        <v>125</v>
      </c>
      <c r="G3" s="214" t="s">
        <v>517</v>
      </c>
      <c r="H3" s="447" t="s">
        <v>571</v>
      </c>
      <c r="I3" s="62"/>
      <c r="J3" s="61"/>
      <c r="K3" s="61"/>
      <c r="L3" s="62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</row>
    <row r="4" spans="1:68" ht="28.75" customHeight="1">
      <c r="A4" s="685" t="s">
        <v>344</v>
      </c>
      <c r="B4" s="621" t="s">
        <v>354</v>
      </c>
      <c r="C4" s="622" t="s">
        <v>165</v>
      </c>
      <c r="D4" s="623">
        <v>390</v>
      </c>
      <c r="E4" s="133">
        <v>300</v>
      </c>
      <c r="F4" s="230">
        <f>SUM(I4:BP4)</f>
        <v>0</v>
      </c>
      <c r="G4" s="624" t="s">
        <v>826</v>
      </c>
      <c r="H4" s="448"/>
      <c r="I4" s="64"/>
      <c r="J4" s="58"/>
      <c r="K4" s="58"/>
      <c r="L4" s="64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</row>
    <row r="5" spans="1:68" ht="27.65" customHeight="1">
      <c r="A5" s="659"/>
      <c r="B5" s="625" t="s">
        <v>355</v>
      </c>
      <c r="C5" s="325" t="s">
        <v>141</v>
      </c>
      <c r="D5" s="112">
        <v>450</v>
      </c>
      <c r="E5" s="113">
        <v>400</v>
      </c>
      <c r="F5" s="228">
        <f t="shared" ref="F5:F68" si="0">SUM(I5:BP5)</f>
        <v>0</v>
      </c>
      <c r="G5" s="624" t="s">
        <v>825</v>
      </c>
      <c r="H5" s="448"/>
      <c r="I5" s="64"/>
      <c r="J5" s="58"/>
      <c r="K5" s="58"/>
      <c r="L5" s="64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ht="31.25" customHeight="1">
      <c r="A6" s="659"/>
      <c r="B6" s="444" t="s">
        <v>273</v>
      </c>
      <c r="C6" s="325" t="s">
        <v>166</v>
      </c>
      <c r="D6" s="99">
        <v>650</v>
      </c>
      <c r="E6" s="90">
        <v>500</v>
      </c>
      <c r="F6" s="179">
        <f t="shared" si="0"/>
        <v>0</v>
      </c>
      <c r="G6" s="624" t="s">
        <v>816</v>
      </c>
      <c r="H6" s="449"/>
      <c r="I6" s="64"/>
      <c r="J6" s="58"/>
      <c r="K6" s="58"/>
      <c r="L6" s="64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</row>
    <row r="7" spans="1:68" ht="33" customHeight="1">
      <c r="A7" s="659"/>
      <c r="B7" s="444" t="s">
        <v>815</v>
      </c>
      <c r="C7" s="280" t="s">
        <v>142</v>
      </c>
      <c r="D7" s="99">
        <v>1000</v>
      </c>
      <c r="E7" s="90">
        <v>750</v>
      </c>
      <c r="F7" s="179">
        <f t="shared" si="0"/>
        <v>0</v>
      </c>
      <c r="G7" s="626" t="s">
        <v>817</v>
      </c>
      <c r="H7" s="448"/>
      <c r="I7" s="64"/>
      <c r="J7" s="58"/>
      <c r="K7" s="58"/>
      <c r="L7" s="64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</row>
    <row r="8" spans="1:68" ht="25.25" customHeight="1">
      <c r="A8" s="659"/>
      <c r="B8" s="111" t="s">
        <v>138</v>
      </c>
      <c r="C8" s="262" t="s">
        <v>204</v>
      </c>
      <c r="D8" s="58">
        <v>220</v>
      </c>
      <c r="E8" s="182">
        <v>195</v>
      </c>
      <c r="F8" s="138">
        <f t="shared" si="0"/>
        <v>0</v>
      </c>
      <c r="G8" s="168"/>
      <c r="H8" s="448"/>
      <c r="I8" s="64"/>
      <c r="J8" s="58"/>
      <c r="K8" s="58"/>
      <c r="L8" s="64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</row>
    <row r="9" spans="1:68" ht="25.25" customHeight="1">
      <c r="A9" s="659"/>
      <c r="B9" s="111" t="s">
        <v>139</v>
      </c>
      <c r="C9" s="262" t="s">
        <v>204</v>
      </c>
      <c r="D9" s="58">
        <v>220</v>
      </c>
      <c r="E9" s="182">
        <v>195</v>
      </c>
      <c r="F9" s="138">
        <f t="shared" si="0"/>
        <v>0</v>
      </c>
      <c r="G9" s="168"/>
      <c r="H9" s="448"/>
      <c r="I9" s="64"/>
      <c r="J9" s="58"/>
      <c r="K9" s="58"/>
      <c r="L9" s="64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</row>
    <row r="10" spans="1:68" ht="25.25" customHeight="1">
      <c r="A10" s="659"/>
      <c r="B10" s="111" t="s">
        <v>140</v>
      </c>
      <c r="C10" s="262" t="s">
        <v>204</v>
      </c>
      <c r="D10" s="58">
        <v>220</v>
      </c>
      <c r="E10" s="182">
        <v>195</v>
      </c>
      <c r="F10" s="138">
        <f t="shared" si="0"/>
        <v>0</v>
      </c>
      <c r="G10" s="168"/>
      <c r="H10" s="448"/>
      <c r="I10" s="64"/>
      <c r="J10" s="58"/>
      <c r="K10" s="58"/>
      <c r="L10" s="64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</row>
    <row r="11" spans="1:68" ht="25.25" customHeight="1">
      <c r="A11" s="659"/>
      <c r="B11" s="115" t="s">
        <v>6</v>
      </c>
      <c r="C11" s="263" t="s">
        <v>165</v>
      </c>
      <c r="D11" s="58">
        <v>350</v>
      </c>
      <c r="E11" s="182">
        <v>250</v>
      </c>
      <c r="F11" s="138">
        <f t="shared" si="0"/>
        <v>0</v>
      </c>
      <c r="G11" s="195"/>
      <c r="H11" s="448"/>
      <c r="I11" s="64"/>
      <c r="J11" s="58"/>
      <c r="K11" s="58"/>
      <c r="L11" s="64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</row>
    <row r="12" spans="1:68" ht="25.25" customHeight="1">
      <c r="A12" s="659"/>
      <c r="B12" s="149" t="s">
        <v>91</v>
      </c>
      <c r="C12" s="264" t="s">
        <v>175</v>
      </c>
      <c r="D12" s="109">
        <v>175</v>
      </c>
      <c r="E12" s="150">
        <v>110</v>
      </c>
      <c r="F12" s="139">
        <f t="shared" si="0"/>
        <v>0</v>
      </c>
      <c r="G12" s="359" t="s">
        <v>531</v>
      </c>
      <c r="H12" s="448"/>
      <c r="I12" s="64"/>
      <c r="J12" s="58"/>
      <c r="K12" s="58"/>
      <c r="L12" s="64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</row>
    <row r="13" spans="1:68" ht="33" customHeight="1">
      <c r="A13" s="659"/>
      <c r="B13" s="206" t="s">
        <v>90</v>
      </c>
      <c r="C13" s="325" t="s">
        <v>175</v>
      </c>
      <c r="D13" s="112">
        <v>950</v>
      </c>
      <c r="E13" s="90">
        <v>600</v>
      </c>
      <c r="F13" s="207">
        <f t="shared" si="0"/>
        <v>0</v>
      </c>
      <c r="G13" s="208" t="s">
        <v>468</v>
      </c>
      <c r="H13" s="448"/>
      <c r="I13" s="64"/>
      <c r="J13" s="58"/>
      <c r="K13" s="58"/>
      <c r="L13" s="64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spans="1:68" ht="30.65" customHeight="1">
      <c r="A14" s="659"/>
      <c r="B14" s="115" t="s">
        <v>163</v>
      </c>
      <c r="C14" s="263" t="s">
        <v>175</v>
      </c>
      <c r="D14" s="58">
        <v>150</v>
      </c>
      <c r="E14" s="182">
        <v>100</v>
      </c>
      <c r="F14" s="140">
        <f t="shared" si="0"/>
        <v>0</v>
      </c>
      <c r="G14" s="215" t="s">
        <v>470</v>
      </c>
      <c r="H14" s="448"/>
      <c r="I14" s="64"/>
      <c r="J14" s="58"/>
      <c r="K14" s="58"/>
      <c r="L14" s="64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</row>
    <row r="15" spans="1:68" ht="34.75" customHeight="1">
      <c r="A15" s="659"/>
      <c r="B15" s="206" t="s">
        <v>84</v>
      </c>
      <c r="C15" s="325" t="s">
        <v>175</v>
      </c>
      <c r="D15" s="99">
        <v>800</v>
      </c>
      <c r="E15" s="90">
        <v>550</v>
      </c>
      <c r="F15" s="207">
        <f t="shared" si="0"/>
        <v>0</v>
      </c>
      <c r="G15" s="351" t="s">
        <v>469</v>
      </c>
      <c r="H15" s="448"/>
      <c r="I15" s="64"/>
      <c r="J15" s="58"/>
      <c r="K15" s="58"/>
      <c r="L15" s="64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</row>
    <row r="16" spans="1:68" ht="33" customHeight="1">
      <c r="A16" s="659"/>
      <c r="B16" s="115" t="s">
        <v>214</v>
      </c>
      <c r="C16" s="263" t="s">
        <v>40</v>
      </c>
      <c r="D16" s="58">
        <v>1500</v>
      </c>
      <c r="E16" s="55">
        <v>1100</v>
      </c>
      <c r="F16" s="140">
        <f t="shared" si="0"/>
        <v>0</v>
      </c>
      <c r="G16" s="170"/>
      <c r="H16" s="448"/>
      <c r="I16" s="64"/>
      <c r="J16" s="58"/>
      <c r="K16" s="58"/>
      <c r="L16" s="64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</row>
    <row r="17" spans="1:68" ht="34.75" customHeight="1">
      <c r="A17" s="659"/>
      <c r="B17" s="149" t="s">
        <v>252</v>
      </c>
      <c r="C17" s="265" t="s">
        <v>136</v>
      </c>
      <c r="D17" s="154">
        <v>860</v>
      </c>
      <c r="E17" s="151">
        <v>650</v>
      </c>
      <c r="F17" s="244">
        <f t="shared" si="0"/>
        <v>0</v>
      </c>
      <c r="G17" s="516" t="s">
        <v>627</v>
      </c>
      <c r="H17" s="448"/>
      <c r="I17" s="64"/>
      <c r="J17" s="58"/>
      <c r="K17" s="58"/>
      <c r="L17" s="64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ht="30" customHeight="1">
      <c r="A18" s="659"/>
      <c r="B18" s="175" t="s">
        <v>460</v>
      </c>
      <c r="C18" s="318" t="s">
        <v>137</v>
      </c>
      <c r="D18" s="321">
        <v>1050</v>
      </c>
      <c r="E18" s="319">
        <v>750</v>
      </c>
      <c r="F18" s="320">
        <f t="shared" si="0"/>
        <v>0</v>
      </c>
      <c r="G18" s="351" t="s">
        <v>743</v>
      </c>
      <c r="H18" s="448"/>
      <c r="I18" s="64"/>
      <c r="J18" s="58"/>
      <c r="K18" s="58"/>
      <c r="L18" s="64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</row>
    <row r="19" spans="1:68" ht="32" customHeight="1">
      <c r="A19" s="659"/>
      <c r="B19" s="532" t="s">
        <v>687</v>
      </c>
      <c r="C19" s="266" t="s">
        <v>137</v>
      </c>
      <c r="D19" s="184">
        <v>850</v>
      </c>
      <c r="E19" s="55">
        <v>580</v>
      </c>
      <c r="F19" s="140">
        <f t="shared" si="0"/>
        <v>0</v>
      </c>
      <c r="G19" s="239"/>
      <c r="H19" s="448"/>
      <c r="I19" s="64"/>
      <c r="J19" s="58"/>
      <c r="K19" s="58"/>
      <c r="L19" s="64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 spans="1:68" ht="25.25" customHeight="1" thickBot="1">
      <c r="A20" s="660"/>
      <c r="B20" s="79"/>
      <c r="C20" s="267"/>
      <c r="D20" s="100"/>
      <c r="E20" s="54"/>
      <c r="F20" s="141">
        <f t="shared" si="0"/>
        <v>0</v>
      </c>
      <c r="G20" s="223"/>
      <c r="H20" s="448"/>
      <c r="I20" s="64"/>
      <c r="J20" s="58"/>
      <c r="K20" s="58"/>
      <c r="L20" s="64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</row>
    <row r="21" spans="1:68" ht="30.65" customHeight="1">
      <c r="A21" s="699" t="s">
        <v>516</v>
      </c>
      <c r="B21" s="164" t="s">
        <v>296</v>
      </c>
      <c r="C21" s="275" t="s">
        <v>174</v>
      </c>
      <c r="D21" s="181">
        <v>290</v>
      </c>
      <c r="E21" s="183">
        <v>280</v>
      </c>
      <c r="F21" s="227">
        <f t="shared" si="0"/>
        <v>0</v>
      </c>
      <c r="G21" s="555" t="s">
        <v>818</v>
      </c>
      <c r="H21" s="448"/>
      <c r="I21" s="64"/>
      <c r="J21" s="58"/>
      <c r="K21" s="58"/>
      <c r="L21" s="64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spans="1:68" ht="25.75" customHeight="1">
      <c r="A22" s="699"/>
      <c r="B22" s="172" t="s">
        <v>370</v>
      </c>
      <c r="C22" s="277" t="s">
        <v>174</v>
      </c>
      <c r="D22" s="112">
        <v>2900</v>
      </c>
      <c r="E22" s="113">
        <v>2700</v>
      </c>
      <c r="F22" s="228">
        <f t="shared" si="0"/>
        <v>0</v>
      </c>
      <c r="G22" s="507" t="s">
        <v>819</v>
      </c>
      <c r="H22" s="448"/>
      <c r="I22" s="64"/>
      <c r="J22" s="58"/>
      <c r="K22" s="58"/>
      <c r="L22" s="64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</row>
    <row r="23" spans="1:68" ht="25.25" customHeight="1">
      <c r="A23" s="699"/>
      <c r="B23" s="172" t="s">
        <v>542</v>
      </c>
      <c r="C23" s="277" t="s">
        <v>174</v>
      </c>
      <c r="D23" s="112">
        <v>5800</v>
      </c>
      <c r="E23" s="113">
        <v>5200</v>
      </c>
      <c r="F23" s="228">
        <f t="shared" si="0"/>
        <v>0</v>
      </c>
      <c r="G23" s="507" t="s">
        <v>820</v>
      </c>
      <c r="H23" s="448"/>
      <c r="I23" s="64"/>
      <c r="J23" s="58"/>
      <c r="K23" s="58"/>
      <c r="L23" s="64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</row>
    <row r="24" spans="1:68" ht="30" customHeight="1">
      <c r="A24" s="699"/>
      <c r="B24" s="131" t="s">
        <v>751</v>
      </c>
      <c r="C24" s="517" t="s">
        <v>628</v>
      </c>
      <c r="D24" s="181">
        <v>150</v>
      </c>
      <c r="E24" s="183">
        <v>150</v>
      </c>
      <c r="F24" s="227">
        <f t="shared" si="0"/>
        <v>0</v>
      </c>
      <c r="G24" s="458" t="s">
        <v>549</v>
      </c>
      <c r="H24" s="448"/>
      <c r="I24" s="64"/>
      <c r="J24" s="58"/>
      <c r="K24" s="58"/>
      <c r="L24" s="64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</row>
    <row r="25" spans="1:68" ht="25.25" customHeight="1">
      <c r="A25" s="699"/>
      <c r="B25" s="111" t="s">
        <v>610</v>
      </c>
      <c r="C25" s="262" t="s">
        <v>369</v>
      </c>
      <c r="D25" s="58">
        <v>160</v>
      </c>
      <c r="E25" s="182">
        <v>150</v>
      </c>
      <c r="F25" s="138">
        <f t="shared" si="0"/>
        <v>0</v>
      </c>
      <c r="G25" s="170"/>
      <c r="H25" s="448"/>
      <c r="I25" s="64"/>
      <c r="J25" s="58"/>
      <c r="K25" s="58"/>
      <c r="L25" s="64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</row>
    <row r="26" spans="1:68" ht="25.25" customHeight="1">
      <c r="A26" s="699"/>
      <c r="B26" s="111" t="s">
        <v>611</v>
      </c>
      <c r="C26" s="442" t="s">
        <v>15</v>
      </c>
      <c r="D26" s="58">
        <v>160</v>
      </c>
      <c r="E26" s="182">
        <v>150</v>
      </c>
      <c r="F26" s="138">
        <f t="shared" si="0"/>
        <v>0</v>
      </c>
      <c r="G26" s="170"/>
      <c r="H26" s="450"/>
      <c r="I26" s="64"/>
      <c r="J26" s="58"/>
      <c r="K26" s="58"/>
      <c r="L26" s="64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</row>
    <row r="27" spans="1:68" ht="25.25" customHeight="1">
      <c r="A27" s="699"/>
      <c r="B27" s="111" t="s">
        <v>612</v>
      </c>
      <c r="C27" s="262" t="s">
        <v>369</v>
      </c>
      <c r="D27" s="184">
        <v>160</v>
      </c>
      <c r="E27" s="55">
        <v>150</v>
      </c>
      <c r="F27" s="140">
        <f t="shared" si="0"/>
        <v>0</v>
      </c>
      <c r="G27" s="170"/>
      <c r="H27" s="449"/>
      <c r="I27" s="64"/>
      <c r="J27" s="58"/>
      <c r="K27" s="58"/>
      <c r="L27" s="64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</row>
    <row r="28" spans="1:68" ht="25.25" customHeight="1">
      <c r="A28" s="699"/>
      <c r="B28" s="115" t="s">
        <v>613</v>
      </c>
      <c r="C28" s="275" t="s">
        <v>508</v>
      </c>
      <c r="D28" s="184">
        <v>180</v>
      </c>
      <c r="E28" s="55">
        <v>170</v>
      </c>
      <c r="F28" s="138">
        <f t="shared" si="0"/>
        <v>0</v>
      </c>
      <c r="G28" s="439" t="s">
        <v>578</v>
      </c>
      <c r="H28" s="448"/>
      <c r="I28" s="64"/>
      <c r="J28" s="58"/>
      <c r="K28" s="58"/>
      <c r="L28" s="64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</row>
    <row r="29" spans="1:68" ht="25.25" customHeight="1">
      <c r="A29" s="699"/>
      <c r="B29" s="115" t="s">
        <v>614</v>
      </c>
      <c r="C29" s="275" t="s">
        <v>508</v>
      </c>
      <c r="D29" s="184">
        <v>180</v>
      </c>
      <c r="E29" s="55">
        <v>170</v>
      </c>
      <c r="F29" s="140">
        <f t="shared" si="0"/>
        <v>0</v>
      </c>
      <c r="G29" s="439" t="s">
        <v>536</v>
      </c>
      <c r="H29" s="448"/>
      <c r="I29" s="64"/>
      <c r="J29" s="58"/>
      <c r="K29" s="58"/>
      <c r="L29" s="64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</row>
    <row r="30" spans="1:68" ht="25.25" customHeight="1">
      <c r="A30" s="699"/>
      <c r="B30" s="115" t="s">
        <v>615</v>
      </c>
      <c r="C30" s="275" t="s">
        <v>508</v>
      </c>
      <c r="D30" s="184">
        <v>180</v>
      </c>
      <c r="E30" s="55">
        <v>170</v>
      </c>
      <c r="F30" s="140">
        <f t="shared" si="0"/>
        <v>0</v>
      </c>
      <c r="G30" s="439" t="s">
        <v>536</v>
      </c>
      <c r="H30" s="448"/>
      <c r="I30" s="64"/>
      <c r="J30" s="58"/>
      <c r="K30" s="58"/>
      <c r="L30" s="64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</row>
    <row r="31" spans="1:68" ht="25.25" customHeight="1">
      <c r="A31" s="699"/>
      <c r="B31" s="115" t="s">
        <v>752</v>
      </c>
      <c r="C31" s="275" t="s">
        <v>508</v>
      </c>
      <c r="D31" s="184">
        <v>180</v>
      </c>
      <c r="E31" s="55">
        <v>170</v>
      </c>
      <c r="F31" s="140">
        <f t="shared" si="0"/>
        <v>0</v>
      </c>
      <c r="G31" s="439" t="s">
        <v>536</v>
      </c>
      <c r="H31" s="448"/>
      <c r="I31" s="64"/>
      <c r="J31" s="58"/>
      <c r="K31" s="58"/>
      <c r="L31" s="64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</row>
    <row r="32" spans="1:68" ht="25.25" customHeight="1">
      <c r="A32" s="699"/>
      <c r="B32" s="115" t="s">
        <v>753</v>
      </c>
      <c r="C32" s="275" t="s">
        <v>508</v>
      </c>
      <c r="D32" s="184">
        <v>180</v>
      </c>
      <c r="E32" s="55">
        <v>170</v>
      </c>
      <c r="F32" s="140">
        <f t="shared" si="0"/>
        <v>0</v>
      </c>
      <c r="G32" s="439" t="s">
        <v>536</v>
      </c>
      <c r="H32" s="448"/>
      <c r="I32" s="64"/>
      <c r="J32" s="58"/>
      <c r="K32" s="58"/>
      <c r="L32" s="64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</row>
    <row r="33" spans="1:68" ht="25.25" customHeight="1">
      <c r="A33" s="699"/>
      <c r="B33" s="115" t="s">
        <v>754</v>
      </c>
      <c r="C33" s="275" t="s">
        <v>508</v>
      </c>
      <c r="D33" s="184">
        <v>180</v>
      </c>
      <c r="E33" s="55">
        <v>170</v>
      </c>
      <c r="F33" s="140">
        <f t="shared" si="0"/>
        <v>0</v>
      </c>
      <c r="G33" s="439" t="s">
        <v>536</v>
      </c>
      <c r="H33" s="448"/>
      <c r="I33" s="64"/>
      <c r="J33" s="58"/>
      <c r="K33" s="58"/>
      <c r="L33" s="64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</row>
    <row r="34" spans="1:68" ht="25.25" customHeight="1">
      <c r="A34" s="697"/>
      <c r="B34" s="526" t="s">
        <v>616</v>
      </c>
      <c r="C34" s="440" t="s">
        <v>608</v>
      </c>
      <c r="D34" s="58">
        <v>220</v>
      </c>
      <c r="E34" s="182">
        <v>190</v>
      </c>
      <c r="F34" s="138">
        <f t="shared" si="0"/>
        <v>0</v>
      </c>
      <c r="G34" s="441" t="s">
        <v>536</v>
      </c>
      <c r="H34" s="448"/>
      <c r="I34" s="64"/>
      <c r="J34" s="58"/>
      <c r="K34" s="58"/>
      <c r="L34" s="64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</row>
    <row r="35" spans="1:68" ht="25.25" customHeight="1">
      <c r="A35" s="697"/>
      <c r="B35" s="526" t="s">
        <v>617</v>
      </c>
      <c r="C35" s="440" t="s">
        <v>608</v>
      </c>
      <c r="D35" s="58">
        <v>220</v>
      </c>
      <c r="E35" s="182">
        <v>190</v>
      </c>
      <c r="F35" s="138">
        <f t="shared" si="0"/>
        <v>0</v>
      </c>
      <c r="G35" s="437" t="s">
        <v>536</v>
      </c>
      <c r="H35" s="448"/>
      <c r="I35" s="64"/>
      <c r="J35" s="58"/>
      <c r="K35" s="58"/>
      <c r="L35" s="64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</row>
    <row r="36" spans="1:68" ht="25.25" customHeight="1">
      <c r="A36" s="697"/>
      <c r="B36" s="526" t="s">
        <v>618</v>
      </c>
      <c r="C36" s="440" t="s">
        <v>608</v>
      </c>
      <c r="D36" s="58">
        <v>220</v>
      </c>
      <c r="E36" s="182">
        <v>190</v>
      </c>
      <c r="F36" s="138">
        <f t="shared" si="0"/>
        <v>0</v>
      </c>
      <c r="G36" s="438" t="s">
        <v>536</v>
      </c>
      <c r="H36" s="448"/>
      <c r="I36" s="64"/>
      <c r="J36" s="58"/>
      <c r="K36" s="58"/>
      <c r="L36" s="64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</row>
    <row r="37" spans="1:68" ht="29" customHeight="1">
      <c r="A37" s="699"/>
      <c r="B37" s="115" t="s">
        <v>660</v>
      </c>
      <c r="C37" s="326" t="s">
        <v>217</v>
      </c>
      <c r="D37" s="184">
        <v>100</v>
      </c>
      <c r="E37" s="55">
        <v>90</v>
      </c>
      <c r="F37" s="138">
        <f t="shared" si="0"/>
        <v>0</v>
      </c>
      <c r="G37" s="173"/>
      <c r="H37" s="448"/>
      <c r="I37" s="64"/>
      <c r="J37" s="58"/>
      <c r="K37" s="58"/>
      <c r="L37" s="64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</row>
    <row r="38" spans="1:68" ht="29" customHeight="1">
      <c r="A38" s="699"/>
      <c r="B38" s="115" t="s">
        <v>619</v>
      </c>
      <c r="C38" s="326" t="s">
        <v>11</v>
      </c>
      <c r="D38" s="184">
        <v>100</v>
      </c>
      <c r="E38" s="55">
        <v>90</v>
      </c>
      <c r="F38" s="140">
        <f t="shared" si="0"/>
        <v>0</v>
      </c>
      <c r="G38" s="173"/>
      <c r="H38" s="448"/>
      <c r="I38" s="64"/>
      <c r="J38" s="58"/>
      <c r="K38" s="58"/>
      <c r="L38" s="64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</row>
    <row r="39" spans="1:68" ht="29" customHeight="1">
      <c r="A39" s="699"/>
      <c r="B39" s="115" t="s">
        <v>413</v>
      </c>
      <c r="C39" s="326" t="s">
        <v>11</v>
      </c>
      <c r="D39" s="184">
        <v>100</v>
      </c>
      <c r="E39" s="55">
        <v>90</v>
      </c>
      <c r="F39" s="140">
        <f t="shared" si="0"/>
        <v>0</v>
      </c>
      <c r="G39" s="173"/>
      <c r="H39" s="448"/>
      <c r="I39" s="64"/>
      <c r="J39" s="58"/>
      <c r="K39" s="58"/>
      <c r="L39" s="64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spans="1:68" ht="29" customHeight="1">
      <c r="A40" s="699"/>
      <c r="B40" s="115" t="s">
        <v>414</v>
      </c>
      <c r="C40" s="326" t="s">
        <v>11</v>
      </c>
      <c r="D40" s="184">
        <v>100</v>
      </c>
      <c r="E40" s="55">
        <v>90</v>
      </c>
      <c r="F40" s="138">
        <f t="shared" si="0"/>
        <v>0</v>
      </c>
      <c r="G40" s="173"/>
      <c r="H40" s="448"/>
      <c r="I40" s="64"/>
      <c r="J40" s="58"/>
      <c r="K40" s="58"/>
      <c r="L40" s="64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</row>
    <row r="41" spans="1:68" ht="29" customHeight="1">
      <c r="A41" s="699"/>
      <c r="B41" s="115" t="s">
        <v>415</v>
      </c>
      <c r="C41" s="326" t="s">
        <v>11</v>
      </c>
      <c r="D41" s="184">
        <v>100</v>
      </c>
      <c r="E41" s="55">
        <v>90</v>
      </c>
      <c r="F41" s="140">
        <f t="shared" si="0"/>
        <v>0</v>
      </c>
      <c r="G41" s="173"/>
      <c r="H41" s="448"/>
      <c r="I41" s="64"/>
      <c r="J41" s="58"/>
      <c r="K41" s="58"/>
      <c r="L41" s="64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</row>
    <row r="42" spans="1:68" ht="29" customHeight="1">
      <c r="A42" s="699"/>
      <c r="B42" s="591" t="s">
        <v>765</v>
      </c>
      <c r="C42" s="592" t="s">
        <v>809</v>
      </c>
      <c r="D42" s="593">
        <v>199</v>
      </c>
      <c r="E42" s="594">
        <v>145</v>
      </c>
      <c r="F42" s="595">
        <f t="shared" si="0"/>
        <v>0</v>
      </c>
      <c r="G42" s="596" t="s">
        <v>480</v>
      </c>
      <c r="H42" s="448"/>
      <c r="I42" s="64"/>
      <c r="J42" s="58"/>
      <c r="K42" s="58"/>
      <c r="L42" s="64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</row>
    <row r="43" spans="1:68" ht="29" customHeight="1">
      <c r="A43" s="699"/>
      <c r="B43" s="597" t="s">
        <v>661</v>
      </c>
      <c r="C43" s="598" t="s">
        <v>810</v>
      </c>
      <c r="D43" s="599">
        <v>199</v>
      </c>
      <c r="E43" s="600">
        <v>145</v>
      </c>
      <c r="F43" s="601">
        <f t="shared" si="0"/>
        <v>0</v>
      </c>
      <c r="G43" s="596" t="s">
        <v>480</v>
      </c>
      <c r="H43" s="448"/>
      <c r="I43" s="64"/>
      <c r="J43" s="58"/>
      <c r="K43" s="58"/>
      <c r="L43" s="64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</row>
    <row r="44" spans="1:68" ht="29" customHeight="1">
      <c r="A44" s="699"/>
      <c r="B44" s="602" t="s">
        <v>662</v>
      </c>
      <c r="C44" s="603" t="s">
        <v>810</v>
      </c>
      <c r="D44" s="604">
        <v>199</v>
      </c>
      <c r="E44" s="605">
        <v>145</v>
      </c>
      <c r="F44" s="606">
        <f t="shared" si="0"/>
        <v>0</v>
      </c>
      <c r="G44" s="596" t="s">
        <v>480</v>
      </c>
      <c r="H44" s="448"/>
      <c r="I44" s="64"/>
      <c r="J44" s="58"/>
      <c r="K44" s="58"/>
      <c r="L44" s="64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</row>
    <row r="45" spans="1:68" ht="29" customHeight="1">
      <c r="A45" s="699"/>
      <c r="B45" s="607" t="s">
        <v>663</v>
      </c>
      <c r="C45" s="608" t="s">
        <v>810</v>
      </c>
      <c r="D45" s="609">
        <v>199</v>
      </c>
      <c r="E45" s="55">
        <v>145</v>
      </c>
      <c r="F45" s="140">
        <f t="shared" si="0"/>
        <v>0</v>
      </c>
      <c r="G45" s="596" t="s">
        <v>480</v>
      </c>
      <c r="H45" s="448"/>
      <c r="I45" s="64"/>
      <c r="J45" s="58"/>
      <c r="K45" s="58"/>
      <c r="L45" s="64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</row>
    <row r="46" spans="1:68" ht="29" customHeight="1">
      <c r="A46" s="699"/>
      <c r="B46" s="610" t="s">
        <v>766</v>
      </c>
      <c r="C46" s="611" t="s">
        <v>810</v>
      </c>
      <c r="D46" s="612">
        <v>199</v>
      </c>
      <c r="E46" s="613">
        <v>145</v>
      </c>
      <c r="F46" s="614">
        <f t="shared" si="0"/>
        <v>0</v>
      </c>
      <c r="G46" s="596" t="s">
        <v>480</v>
      </c>
      <c r="H46" s="448"/>
      <c r="I46" s="64"/>
      <c r="J46" s="58"/>
      <c r="K46" s="58"/>
      <c r="L46" s="64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</row>
    <row r="47" spans="1:68" ht="29" customHeight="1">
      <c r="A47" s="699"/>
      <c r="B47" s="615" t="s">
        <v>767</v>
      </c>
      <c r="C47" s="616" t="s">
        <v>810</v>
      </c>
      <c r="D47" s="617">
        <v>199</v>
      </c>
      <c r="E47" s="618">
        <v>145</v>
      </c>
      <c r="F47" s="619">
        <f t="shared" si="0"/>
        <v>0</v>
      </c>
      <c r="G47" s="596" t="s">
        <v>480</v>
      </c>
      <c r="H47" s="448"/>
      <c r="I47" s="64"/>
      <c r="J47" s="58"/>
      <c r="K47" s="58"/>
      <c r="L47" s="64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</row>
    <row r="48" spans="1:68" ht="26.4" customHeight="1">
      <c r="A48" s="699"/>
      <c r="B48" s="527" t="s">
        <v>357</v>
      </c>
      <c r="C48" s="511" t="s">
        <v>374</v>
      </c>
      <c r="D48" s="510">
        <v>350</v>
      </c>
      <c r="E48" s="87">
        <v>350</v>
      </c>
      <c r="F48" s="207">
        <f t="shared" si="0"/>
        <v>0</v>
      </c>
      <c r="G48" s="248" t="s">
        <v>358</v>
      </c>
      <c r="H48" s="448"/>
      <c r="I48" s="64"/>
      <c r="J48" s="58"/>
      <c r="K48" s="58"/>
      <c r="L48" s="64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</row>
    <row r="49" spans="1:68" ht="29.4" customHeight="1">
      <c r="A49" s="699"/>
      <c r="B49" s="527" t="s">
        <v>664</v>
      </c>
      <c r="C49" s="511" t="s">
        <v>174</v>
      </c>
      <c r="D49" s="510">
        <v>2800</v>
      </c>
      <c r="E49" s="87">
        <v>2600</v>
      </c>
      <c r="F49" s="207">
        <f t="shared" si="0"/>
        <v>0</v>
      </c>
      <c r="G49" s="248" t="s">
        <v>574</v>
      </c>
      <c r="H49" s="448"/>
      <c r="I49" s="64"/>
      <c r="J49" s="58"/>
      <c r="K49" s="58"/>
      <c r="L49" s="64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</row>
    <row r="50" spans="1:68" ht="24" customHeight="1">
      <c r="A50" s="699"/>
      <c r="B50" s="530" t="s">
        <v>621</v>
      </c>
      <c r="C50" s="272" t="s">
        <v>609</v>
      </c>
      <c r="D50" s="528">
        <v>280</v>
      </c>
      <c r="E50" s="55">
        <v>210</v>
      </c>
      <c r="F50" s="140">
        <f t="shared" si="0"/>
        <v>0</v>
      </c>
      <c r="G50" s="529"/>
      <c r="H50" s="448"/>
      <c r="I50" s="64"/>
      <c r="J50" s="58"/>
      <c r="K50" s="58"/>
      <c r="L50" s="64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</row>
    <row r="51" spans="1:68" ht="28.75" customHeight="1">
      <c r="A51" s="699"/>
      <c r="B51" s="530" t="s">
        <v>620</v>
      </c>
      <c r="C51" s="272" t="s">
        <v>609</v>
      </c>
      <c r="D51" s="528">
        <v>280</v>
      </c>
      <c r="E51" s="55">
        <v>210</v>
      </c>
      <c r="F51" s="140">
        <f t="shared" si="0"/>
        <v>0</v>
      </c>
      <c r="G51" s="529"/>
      <c r="H51" s="448"/>
      <c r="I51" s="64"/>
      <c r="J51" s="58"/>
      <c r="K51" s="58"/>
      <c r="L51" s="64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</row>
    <row r="52" spans="1:68" ht="28.75" customHeight="1">
      <c r="A52" s="699"/>
      <c r="B52" s="115" t="s">
        <v>622</v>
      </c>
      <c r="C52" s="270" t="s">
        <v>609</v>
      </c>
      <c r="D52" s="184">
        <v>280</v>
      </c>
      <c r="E52" s="55">
        <v>210</v>
      </c>
      <c r="F52" s="140">
        <f t="shared" si="0"/>
        <v>0</v>
      </c>
      <c r="G52" s="529"/>
      <c r="H52" s="448"/>
      <c r="I52" s="64"/>
      <c r="J52" s="58"/>
      <c r="K52" s="58"/>
      <c r="L52" s="64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</row>
    <row r="53" spans="1:68" ht="30" customHeight="1" thickBot="1">
      <c r="A53" s="700"/>
      <c r="B53" s="508"/>
      <c r="C53" s="500"/>
      <c r="D53" s="100"/>
      <c r="E53" s="54"/>
      <c r="F53" s="141">
        <f t="shared" si="0"/>
        <v>0</v>
      </c>
      <c r="G53" s="169"/>
      <c r="H53" s="448"/>
      <c r="I53" s="64"/>
      <c r="J53" s="58"/>
      <c r="K53" s="58"/>
      <c r="L53" s="64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</row>
    <row r="54" spans="1:68" ht="27.65" customHeight="1" thickBot="1">
      <c r="A54" s="689" t="s">
        <v>515</v>
      </c>
      <c r="B54" s="196" t="s">
        <v>393</v>
      </c>
      <c r="C54" s="509" t="s">
        <v>263</v>
      </c>
      <c r="D54" s="193">
        <v>550</v>
      </c>
      <c r="E54" s="194">
        <v>399</v>
      </c>
      <c r="F54" s="227">
        <f t="shared" si="0"/>
        <v>0</v>
      </c>
      <c r="G54" s="242"/>
      <c r="H54" s="448"/>
      <c r="I54" s="64"/>
      <c r="J54" s="58"/>
      <c r="K54" s="58"/>
      <c r="L54" s="64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</row>
    <row r="55" spans="1:68" ht="27.65" customHeight="1" thickBot="1">
      <c r="A55" s="689"/>
      <c r="B55" s="200" t="s">
        <v>509</v>
      </c>
      <c r="C55" s="345" t="s">
        <v>263</v>
      </c>
      <c r="D55" s="296">
        <v>4400</v>
      </c>
      <c r="E55" s="113">
        <v>3100</v>
      </c>
      <c r="F55" s="228">
        <f t="shared" si="0"/>
        <v>0</v>
      </c>
      <c r="G55" s="565" t="s">
        <v>534</v>
      </c>
      <c r="H55" s="448"/>
      <c r="I55" s="64"/>
      <c r="J55" s="58"/>
      <c r="K55" s="58"/>
      <c r="L55" s="64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</row>
    <row r="56" spans="1:68" ht="25.75" customHeight="1" thickBot="1">
      <c r="A56" s="689"/>
      <c r="B56" s="200" t="s">
        <v>546</v>
      </c>
      <c r="C56" s="345" t="s">
        <v>395</v>
      </c>
      <c r="D56" s="296">
        <v>8800</v>
      </c>
      <c r="E56" s="113">
        <v>5888</v>
      </c>
      <c r="F56" s="228">
        <f t="shared" si="0"/>
        <v>0</v>
      </c>
      <c r="G56" s="566" t="s">
        <v>547</v>
      </c>
      <c r="H56" s="448"/>
      <c r="I56" s="64"/>
      <c r="J56" s="58"/>
      <c r="K56" s="58"/>
      <c r="L56" s="64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</row>
    <row r="57" spans="1:68" ht="31.75" customHeight="1" thickBot="1">
      <c r="A57" s="689"/>
      <c r="B57" s="347" t="s">
        <v>394</v>
      </c>
      <c r="C57" s="286" t="s">
        <v>263</v>
      </c>
      <c r="D57" s="181">
        <v>650</v>
      </c>
      <c r="E57" s="183">
        <v>499</v>
      </c>
      <c r="F57" s="227">
        <f t="shared" si="0"/>
        <v>0</v>
      </c>
      <c r="G57" s="415"/>
      <c r="H57" s="448"/>
      <c r="I57" s="64"/>
      <c r="J57" s="58"/>
      <c r="K57" s="58"/>
      <c r="L57" s="64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</row>
    <row r="58" spans="1:68" ht="30.65" customHeight="1" thickBot="1">
      <c r="A58" s="689"/>
      <c r="B58" s="200" t="s">
        <v>511</v>
      </c>
      <c r="C58" s="345" t="s">
        <v>395</v>
      </c>
      <c r="D58" s="91">
        <v>3900</v>
      </c>
      <c r="E58" s="113">
        <v>2868</v>
      </c>
      <c r="F58" s="228">
        <f t="shared" si="0"/>
        <v>0</v>
      </c>
      <c r="G58" s="566" t="s">
        <v>510</v>
      </c>
      <c r="H58" s="448"/>
      <c r="I58" s="64"/>
      <c r="J58" s="58"/>
      <c r="K58" s="58"/>
      <c r="L58" s="64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</row>
    <row r="59" spans="1:68" ht="31.25" customHeight="1" thickBot="1">
      <c r="A59" s="689"/>
      <c r="B59" s="131" t="s">
        <v>388</v>
      </c>
      <c r="C59" s="284" t="s">
        <v>180</v>
      </c>
      <c r="D59" s="181">
        <v>1050</v>
      </c>
      <c r="E59" s="183">
        <v>800</v>
      </c>
      <c r="F59" s="227">
        <f t="shared" si="0"/>
        <v>0</v>
      </c>
      <c r="G59" s="416"/>
      <c r="H59" s="448"/>
      <c r="I59" s="64"/>
      <c r="J59" s="58"/>
      <c r="K59" s="58"/>
      <c r="L59" s="64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</row>
    <row r="60" spans="1:68" ht="28.75" customHeight="1">
      <c r="A60" s="689"/>
      <c r="B60" s="462" t="s">
        <v>577</v>
      </c>
      <c r="C60" s="463" t="s">
        <v>180</v>
      </c>
      <c r="D60" s="464">
        <v>6300</v>
      </c>
      <c r="E60" s="411">
        <v>4360</v>
      </c>
      <c r="F60" s="465">
        <f t="shared" si="0"/>
        <v>0</v>
      </c>
      <c r="G60" s="466" t="s">
        <v>821</v>
      </c>
      <c r="H60" s="448"/>
      <c r="I60" s="64"/>
      <c r="J60" s="58"/>
      <c r="K60" s="58"/>
      <c r="L60" s="64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</row>
    <row r="61" spans="1:68" ht="25.25" customHeight="1">
      <c r="A61" s="689"/>
      <c r="B61" s="343" t="s">
        <v>548</v>
      </c>
      <c r="C61" s="297" t="s">
        <v>170</v>
      </c>
      <c r="D61" s="99">
        <v>350</v>
      </c>
      <c r="E61" s="90">
        <v>198</v>
      </c>
      <c r="F61" s="179">
        <f t="shared" si="0"/>
        <v>0</v>
      </c>
      <c r="G61" s="567" t="s">
        <v>835</v>
      </c>
      <c r="H61" s="448"/>
      <c r="I61" s="64"/>
      <c r="J61" s="58"/>
      <c r="K61" s="58"/>
      <c r="L61" s="64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</row>
    <row r="62" spans="1:68" ht="25.25" customHeight="1">
      <c r="A62" s="689"/>
      <c r="B62" s="343" t="s">
        <v>419</v>
      </c>
      <c r="C62" s="297" t="s">
        <v>170</v>
      </c>
      <c r="D62" s="99">
        <v>350</v>
      </c>
      <c r="E62" s="90">
        <v>198</v>
      </c>
      <c r="F62" s="179">
        <f t="shared" si="0"/>
        <v>0</v>
      </c>
      <c r="G62" s="567" t="s">
        <v>834</v>
      </c>
      <c r="H62" s="448"/>
      <c r="I62" s="64"/>
      <c r="J62" s="58"/>
      <c r="K62" s="58"/>
      <c r="L62" s="64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</row>
    <row r="63" spans="1:68" ht="25.25" customHeight="1" thickBot="1">
      <c r="A63" s="689"/>
      <c r="B63" s="343" t="s">
        <v>420</v>
      </c>
      <c r="C63" s="297" t="s">
        <v>170</v>
      </c>
      <c r="D63" s="99">
        <v>350</v>
      </c>
      <c r="E63" s="90">
        <v>198</v>
      </c>
      <c r="F63" s="179">
        <f t="shared" si="0"/>
        <v>0</v>
      </c>
      <c r="G63" s="567" t="s">
        <v>834</v>
      </c>
      <c r="H63" s="448"/>
      <c r="I63" s="64"/>
      <c r="J63" s="58"/>
      <c r="K63" s="58"/>
      <c r="L63" s="64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</row>
    <row r="64" spans="1:68" ht="25.75" customHeight="1">
      <c r="A64" s="689"/>
      <c r="B64" s="301" t="s">
        <v>145</v>
      </c>
      <c r="C64" s="302" t="s">
        <v>170</v>
      </c>
      <c r="D64" s="303">
        <v>320</v>
      </c>
      <c r="E64" s="304">
        <v>230</v>
      </c>
      <c r="F64" s="341">
        <f t="shared" si="0"/>
        <v>0</v>
      </c>
      <c r="G64" s="406"/>
      <c r="H64" s="448"/>
      <c r="I64" s="64"/>
      <c r="J64" s="58"/>
      <c r="K64" s="58"/>
      <c r="L64" s="64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</row>
    <row r="65" spans="1:68" ht="25.25" customHeight="1">
      <c r="A65" s="689"/>
      <c r="B65" s="301" t="s">
        <v>146</v>
      </c>
      <c r="C65" s="302" t="s">
        <v>170</v>
      </c>
      <c r="D65" s="303">
        <v>320</v>
      </c>
      <c r="E65" s="304">
        <v>230</v>
      </c>
      <c r="F65" s="341">
        <f t="shared" si="0"/>
        <v>0</v>
      </c>
      <c r="G65" s="409" t="s">
        <v>540</v>
      </c>
      <c r="H65" s="448"/>
      <c r="I65" s="64"/>
      <c r="J65" s="58"/>
      <c r="K65" s="58"/>
      <c r="L65" s="64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</row>
    <row r="66" spans="1:68" ht="25.25" customHeight="1">
      <c r="A66" s="689"/>
      <c r="B66" s="305" t="s">
        <v>147</v>
      </c>
      <c r="C66" s="302" t="s">
        <v>170</v>
      </c>
      <c r="D66" s="303">
        <v>320</v>
      </c>
      <c r="E66" s="304">
        <v>230</v>
      </c>
      <c r="F66" s="341">
        <f t="shared" si="0"/>
        <v>0</v>
      </c>
      <c r="G66" s="410" t="s">
        <v>541</v>
      </c>
      <c r="H66" s="448"/>
      <c r="I66" s="64"/>
      <c r="J66" s="58"/>
      <c r="K66" s="58"/>
      <c r="L66" s="64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</row>
    <row r="67" spans="1:68" ht="25.25" customHeight="1">
      <c r="A67" s="689"/>
      <c r="B67" s="305" t="s">
        <v>148</v>
      </c>
      <c r="C67" s="302" t="s">
        <v>170</v>
      </c>
      <c r="D67" s="303">
        <v>320</v>
      </c>
      <c r="E67" s="304">
        <v>230</v>
      </c>
      <c r="F67" s="341">
        <f t="shared" si="0"/>
        <v>0</v>
      </c>
      <c r="G67" s="409" t="s">
        <v>540</v>
      </c>
      <c r="H67" s="448"/>
      <c r="I67" s="64"/>
      <c r="J67" s="58"/>
      <c r="K67" s="58"/>
      <c r="L67" s="64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</row>
    <row r="68" spans="1:68" ht="25.25" customHeight="1">
      <c r="A68" s="689"/>
      <c r="B68" s="301" t="s">
        <v>149</v>
      </c>
      <c r="C68" s="302" t="s">
        <v>170</v>
      </c>
      <c r="D68" s="303">
        <v>320</v>
      </c>
      <c r="E68" s="304">
        <v>230</v>
      </c>
      <c r="F68" s="341">
        <f t="shared" si="0"/>
        <v>0</v>
      </c>
      <c r="G68" s="410" t="s">
        <v>541</v>
      </c>
      <c r="H68" s="448"/>
      <c r="I68" s="64"/>
      <c r="J68" s="58"/>
      <c r="K68" s="58"/>
      <c r="L68" s="64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</row>
    <row r="69" spans="1:68" ht="25.25" customHeight="1">
      <c r="A69" s="689"/>
      <c r="B69" s="301" t="s">
        <v>150</v>
      </c>
      <c r="C69" s="302" t="s">
        <v>170</v>
      </c>
      <c r="D69" s="303">
        <v>320</v>
      </c>
      <c r="E69" s="304">
        <v>230</v>
      </c>
      <c r="F69" s="341">
        <f t="shared" ref="F69:F132" si="1">SUM(I69:BP69)</f>
        <v>0</v>
      </c>
      <c r="G69" s="407"/>
      <c r="H69" s="448"/>
      <c r="I69" s="64"/>
      <c r="J69" s="58"/>
      <c r="K69" s="58"/>
      <c r="L69" s="64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</row>
    <row r="70" spans="1:68" ht="25.25" customHeight="1">
      <c r="A70" s="689"/>
      <c r="B70" s="301" t="s">
        <v>151</v>
      </c>
      <c r="C70" s="302" t="s">
        <v>170</v>
      </c>
      <c r="D70" s="303">
        <v>320</v>
      </c>
      <c r="E70" s="304">
        <v>230</v>
      </c>
      <c r="F70" s="341">
        <f t="shared" si="1"/>
        <v>0</v>
      </c>
      <c r="G70" s="407"/>
      <c r="H70" s="448"/>
      <c r="I70" s="64"/>
      <c r="J70" s="58"/>
      <c r="K70" s="58"/>
      <c r="L70" s="64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</row>
    <row r="71" spans="1:68" ht="25.25" customHeight="1">
      <c r="A71" s="689"/>
      <c r="B71" s="301" t="s">
        <v>152</v>
      </c>
      <c r="C71" s="302" t="s">
        <v>170</v>
      </c>
      <c r="D71" s="303">
        <v>320</v>
      </c>
      <c r="E71" s="304">
        <v>230</v>
      </c>
      <c r="F71" s="341">
        <f t="shared" si="1"/>
        <v>0</v>
      </c>
      <c r="G71" s="409" t="s">
        <v>540</v>
      </c>
      <c r="H71" s="448"/>
      <c r="I71" s="64"/>
      <c r="J71" s="58"/>
      <c r="K71" s="58"/>
      <c r="L71" s="64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</row>
    <row r="72" spans="1:68" ht="25.25" customHeight="1">
      <c r="A72" s="689"/>
      <c r="B72" s="301" t="s">
        <v>291</v>
      </c>
      <c r="C72" s="302" t="s">
        <v>170</v>
      </c>
      <c r="D72" s="303">
        <v>320</v>
      </c>
      <c r="E72" s="304">
        <v>230</v>
      </c>
      <c r="F72" s="341">
        <f t="shared" si="1"/>
        <v>0</v>
      </c>
      <c r="G72" s="410" t="s">
        <v>541</v>
      </c>
      <c r="H72" s="448"/>
      <c r="I72" s="64"/>
      <c r="J72" s="58"/>
      <c r="K72" s="58"/>
      <c r="L72" s="64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</row>
    <row r="73" spans="1:68" ht="25.25" customHeight="1">
      <c r="A73" s="689"/>
      <c r="B73" s="301" t="s">
        <v>292</v>
      </c>
      <c r="C73" s="302" t="s">
        <v>170</v>
      </c>
      <c r="D73" s="303">
        <v>320</v>
      </c>
      <c r="E73" s="304">
        <v>230</v>
      </c>
      <c r="F73" s="341">
        <f t="shared" si="1"/>
        <v>0</v>
      </c>
      <c r="G73" s="408"/>
      <c r="H73" s="448"/>
      <c r="I73" s="64"/>
      <c r="J73" s="58"/>
      <c r="K73" s="58"/>
      <c r="L73" s="64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</row>
    <row r="74" spans="1:68" ht="25.25" customHeight="1">
      <c r="A74" s="689"/>
      <c r="B74" s="85" t="s">
        <v>117</v>
      </c>
      <c r="C74" s="275" t="s">
        <v>170</v>
      </c>
      <c r="D74" s="181">
        <v>150</v>
      </c>
      <c r="E74" s="183">
        <v>125</v>
      </c>
      <c r="F74" s="227">
        <f t="shared" si="1"/>
        <v>0</v>
      </c>
      <c r="G74" s="371" t="s">
        <v>559</v>
      </c>
      <c r="H74" s="448"/>
      <c r="I74" s="64"/>
      <c r="J74" s="58"/>
      <c r="K74" s="58"/>
      <c r="L74" s="64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</row>
    <row r="75" spans="1:68" ht="25.25" customHeight="1">
      <c r="A75" s="689"/>
      <c r="B75" s="85" t="s">
        <v>118</v>
      </c>
      <c r="C75" s="275" t="s">
        <v>170</v>
      </c>
      <c r="D75" s="181">
        <v>150</v>
      </c>
      <c r="E75" s="183">
        <v>125</v>
      </c>
      <c r="F75" s="227">
        <f t="shared" si="1"/>
        <v>0</v>
      </c>
      <c r="G75" s="371" t="s">
        <v>559</v>
      </c>
      <c r="H75" s="448"/>
      <c r="I75" s="64"/>
      <c r="J75" s="58"/>
      <c r="K75" s="58"/>
      <c r="L75" s="64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</row>
    <row r="76" spans="1:68" ht="25.25" customHeight="1">
      <c r="A76" s="689"/>
      <c r="B76" s="85" t="s">
        <v>119</v>
      </c>
      <c r="C76" s="275" t="s">
        <v>170</v>
      </c>
      <c r="D76" s="181">
        <v>150</v>
      </c>
      <c r="E76" s="183">
        <v>125</v>
      </c>
      <c r="F76" s="227">
        <f t="shared" si="1"/>
        <v>0</v>
      </c>
      <c r="G76" s="371" t="s">
        <v>559</v>
      </c>
      <c r="H76" s="448"/>
      <c r="I76" s="64"/>
      <c r="J76" s="58"/>
      <c r="K76" s="58"/>
      <c r="L76" s="64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</row>
    <row r="77" spans="1:68" ht="25.25" customHeight="1">
      <c r="A77" s="689"/>
      <c r="B77" s="85" t="s">
        <v>120</v>
      </c>
      <c r="C77" s="275" t="s">
        <v>170</v>
      </c>
      <c r="D77" s="181">
        <v>150</v>
      </c>
      <c r="E77" s="183">
        <v>125</v>
      </c>
      <c r="F77" s="227">
        <f t="shared" si="1"/>
        <v>0</v>
      </c>
      <c r="G77" s="371" t="s">
        <v>559</v>
      </c>
      <c r="H77" s="448"/>
      <c r="I77" s="64"/>
      <c r="J77" s="58"/>
      <c r="K77" s="58"/>
      <c r="L77" s="64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</row>
    <row r="78" spans="1:68" ht="25.25" customHeight="1">
      <c r="A78" s="689"/>
      <c r="B78" s="85" t="s">
        <v>121</v>
      </c>
      <c r="C78" s="275" t="s">
        <v>170</v>
      </c>
      <c r="D78" s="181">
        <v>150</v>
      </c>
      <c r="E78" s="183">
        <v>125</v>
      </c>
      <c r="F78" s="227">
        <f t="shared" si="1"/>
        <v>0</v>
      </c>
      <c r="G78" s="371" t="s">
        <v>559</v>
      </c>
      <c r="H78" s="448"/>
      <c r="I78" s="64"/>
      <c r="J78" s="58"/>
      <c r="K78" s="58"/>
      <c r="L78" s="64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</row>
    <row r="79" spans="1:68" ht="25.25" customHeight="1">
      <c r="A79" s="689"/>
      <c r="B79" s="84" t="s">
        <v>85</v>
      </c>
      <c r="C79" s="275" t="s">
        <v>170</v>
      </c>
      <c r="D79" s="181">
        <v>150</v>
      </c>
      <c r="E79" s="183">
        <v>125</v>
      </c>
      <c r="F79" s="227">
        <f t="shared" si="1"/>
        <v>0</v>
      </c>
      <c r="G79" s="371" t="s">
        <v>559</v>
      </c>
      <c r="H79" s="448"/>
      <c r="I79" s="64"/>
      <c r="J79" s="58"/>
      <c r="K79" s="58"/>
      <c r="L79" s="64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</row>
    <row r="80" spans="1:68" ht="25.25" customHeight="1">
      <c r="A80" s="689"/>
      <c r="B80" s="84" t="s">
        <v>86</v>
      </c>
      <c r="C80" s="275" t="s">
        <v>170</v>
      </c>
      <c r="D80" s="181">
        <v>150</v>
      </c>
      <c r="E80" s="183">
        <v>125</v>
      </c>
      <c r="F80" s="227">
        <f t="shared" si="1"/>
        <v>0</v>
      </c>
      <c r="G80" s="371" t="s">
        <v>559</v>
      </c>
      <c r="H80" s="448"/>
      <c r="I80" s="64"/>
      <c r="J80" s="58"/>
      <c r="K80" s="58"/>
      <c r="L80" s="64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</row>
    <row r="81" spans="1:68" ht="25.25" customHeight="1">
      <c r="A81" s="689"/>
      <c r="B81" s="84" t="s">
        <v>87</v>
      </c>
      <c r="C81" s="275" t="s">
        <v>170</v>
      </c>
      <c r="D81" s="181">
        <v>150</v>
      </c>
      <c r="E81" s="183">
        <v>125</v>
      </c>
      <c r="F81" s="227">
        <f t="shared" si="1"/>
        <v>0</v>
      </c>
      <c r="G81" s="371" t="s">
        <v>559</v>
      </c>
      <c r="H81" s="448"/>
      <c r="I81" s="64"/>
      <c r="J81" s="58"/>
      <c r="K81" s="58"/>
      <c r="L81" s="64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</row>
    <row r="82" spans="1:68" ht="25.25" customHeight="1">
      <c r="A82" s="689"/>
      <c r="B82" s="84" t="s">
        <v>88</v>
      </c>
      <c r="C82" s="275" t="s">
        <v>170</v>
      </c>
      <c r="D82" s="181">
        <v>150</v>
      </c>
      <c r="E82" s="183">
        <v>125</v>
      </c>
      <c r="F82" s="227">
        <f t="shared" si="1"/>
        <v>0</v>
      </c>
      <c r="G82" s="371" t="s">
        <v>559</v>
      </c>
      <c r="H82" s="448"/>
      <c r="I82" s="64"/>
      <c r="J82" s="58"/>
      <c r="K82" s="58"/>
      <c r="L82" s="64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</row>
    <row r="83" spans="1:68" ht="25.25" customHeight="1">
      <c r="A83" s="689"/>
      <c r="B83" s="84" t="s">
        <v>293</v>
      </c>
      <c r="C83" s="275" t="s">
        <v>170</v>
      </c>
      <c r="D83" s="181">
        <v>150</v>
      </c>
      <c r="E83" s="183">
        <v>125</v>
      </c>
      <c r="F83" s="227">
        <f t="shared" si="1"/>
        <v>0</v>
      </c>
      <c r="G83" s="371" t="s">
        <v>559</v>
      </c>
      <c r="H83" s="448"/>
      <c r="I83" s="64"/>
      <c r="J83" s="58"/>
      <c r="K83" s="58"/>
      <c r="L83" s="64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</row>
    <row r="84" spans="1:68" ht="25.25" customHeight="1">
      <c r="A84" s="689"/>
      <c r="B84" s="84" t="s">
        <v>294</v>
      </c>
      <c r="C84" s="275" t="s">
        <v>170</v>
      </c>
      <c r="D84" s="181">
        <v>150</v>
      </c>
      <c r="E84" s="183">
        <v>125</v>
      </c>
      <c r="F84" s="227">
        <f t="shared" si="1"/>
        <v>0</v>
      </c>
      <c r="G84" s="371" t="s">
        <v>559</v>
      </c>
      <c r="H84" s="448"/>
      <c r="I84" s="64"/>
      <c r="J84" s="58"/>
      <c r="K84" s="58"/>
      <c r="L84" s="64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</row>
    <row r="85" spans="1:68" ht="30.65" customHeight="1">
      <c r="A85" s="689"/>
      <c r="B85" s="84" t="s">
        <v>295</v>
      </c>
      <c r="C85" s="275" t="s">
        <v>170</v>
      </c>
      <c r="D85" s="181">
        <v>150</v>
      </c>
      <c r="E85" s="183">
        <v>125</v>
      </c>
      <c r="F85" s="227">
        <f t="shared" si="1"/>
        <v>0</v>
      </c>
      <c r="G85" s="371" t="s">
        <v>559</v>
      </c>
      <c r="H85" s="448"/>
      <c r="I85" s="64"/>
      <c r="J85" s="58"/>
      <c r="K85" s="58"/>
      <c r="L85" s="64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</row>
    <row r="86" spans="1:68" ht="25.25" customHeight="1">
      <c r="A86" s="689"/>
      <c r="B86" s="146" t="s">
        <v>278</v>
      </c>
      <c r="C86" s="262" t="s">
        <v>170</v>
      </c>
      <c r="D86" s="58">
        <v>200</v>
      </c>
      <c r="E86" s="182">
        <v>150</v>
      </c>
      <c r="F86" s="138">
        <f t="shared" si="1"/>
        <v>0</v>
      </c>
      <c r="G86" s="168" t="s">
        <v>162</v>
      </c>
      <c r="H86" s="448"/>
      <c r="I86" s="64"/>
      <c r="J86" s="58"/>
      <c r="K86" s="58"/>
      <c r="L86" s="64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</row>
    <row r="87" spans="1:68" ht="25.25" customHeight="1">
      <c r="A87" s="689"/>
      <c r="B87" s="146" t="s">
        <v>277</v>
      </c>
      <c r="C87" s="262" t="s">
        <v>170</v>
      </c>
      <c r="D87" s="58">
        <v>200</v>
      </c>
      <c r="E87" s="182">
        <v>150</v>
      </c>
      <c r="F87" s="138">
        <f t="shared" si="1"/>
        <v>0</v>
      </c>
      <c r="G87" s="168" t="s">
        <v>162</v>
      </c>
      <c r="H87" s="448"/>
      <c r="I87" s="64"/>
      <c r="J87" s="58"/>
      <c r="K87" s="58"/>
      <c r="L87" s="64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</row>
    <row r="88" spans="1:68" ht="25.25" customHeight="1" thickBot="1">
      <c r="A88" s="689"/>
      <c r="B88" s="146" t="s">
        <v>279</v>
      </c>
      <c r="C88" s="262" t="s">
        <v>170</v>
      </c>
      <c r="D88" s="58">
        <v>200</v>
      </c>
      <c r="E88" s="182">
        <v>150</v>
      </c>
      <c r="F88" s="138">
        <f t="shared" si="1"/>
        <v>0</v>
      </c>
      <c r="G88" s="168" t="s">
        <v>162</v>
      </c>
      <c r="H88" s="448"/>
      <c r="I88" s="64"/>
      <c r="J88" s="58"/>
      <c r="K88" s="58"/>
      <c r="L88" s="64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</row>
    <row r="89" spans="1:68" ht="25.25" customHeight="1" thickBot="1">
      <c r="A89" s="689"/>
      <c r="B89" s="431" t="s">
        <v>356</v>
      </c>
      <c r="C89" s="432" t="s">
        <v>137</v>
      </c>
      <c r="D89" s="433">
        <v>1050</v>
      </c>
      <c r="E89" s="434">
        <v>850</v>
      </c>
      <c r="F89" s="435">
        <f t="shared" si="1"/>
        <v>0</v>
      </c>
      <c r="G89" s="436" t="s">
        <v>811</v>
      </c>
      <c r="H89" s="448"/>
      <c r="I89" s="64"/>
      <c r="J89" s="58"/>
      <c r="K89" s="58"/>
      <c r="L89" s="64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</row>
    <row r="90" spans="1:68" ht="33.65" customHeight="1" thickBot="1">
      <c r="A90" s="689"/>
      <c r="B90" s="145" t="s">
        <v>528</v>
      </c>
      <c r="C90" s="285" t="s">
        <v>10</v>
      </c>
      <c r="D90" s="88">
        <v>1200</v>
      </c>
      <c r="E90" s="90">
        <v>950</v>
      </c>
      <c r="F90" s="207">
        <f t="shared" si="1"/>
        <v>0</v>
      </c>
      <c r="G90" s="346" t="s">
        <v>513</v>
      </c>
      <c r="H90" s="448"/>
      <c r="I90" s="64"/>
      <c r="J90" s="58"/>
      <c r="K90" s="58"/>
      <c r="L90" s="64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</row>
    <row r="91" spans="1:68" ht="25.25" customHeight="1">
      <c r="A91" s="689"/>
      <c r="B91" s="145" t="s">
        <v>529</v>
      </c>
      <c r="C91" s="285" t="s">
        <v>10</v>
      </c>
      <c r="D91" s="88">
        <v>1200</v>
      </c>
      <c r="E91" s="90">
        <v>950</v>
      </c>
      <c r="F91" s="207">
        <f t="shared" si="1"/>
        <v>0</v>
      </c>
      <c r="G91" s="346" t="s">
        <v>513</v>
      </c>
      <c r="H91" s="448"/>
      <c r="I91" s="64"/>
      <c r="J91" s="58"/>
      <c r="K91" s="58"/>
      <c r="L91" s="64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</row>
    <row r="92" spans="1:68" ht="25.25" customHeight="1">
      <c r="A92" s="689"/>
      <c r="B92" s="82" t="s">
        <v>386</v>
      </c>
      <c r="C92" s="286" t="s">
        <v>263</v>
      </c>
      <c r="D92" s="184">
        <v>500</v>
      </c>
      <c r="E92" s="182">
        <v>390</v>
      </c>
      <c r="F92" s="140">
        <f t="shared" si="1"/>
        <v>0</v>
      </c>
      <c r="G92" s="219"/>
      <c r="H92" s="448"/>
      <c r="I92" s="64"/>
      <c r="J92" s="58"/>
      <c r="K92" s="58"/>
      <c r="L92" s="64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</row>
    <row r="93" spans="1:68" ht="25.25" customHeight="1">
      <c r="A93" s="689"/>
      <c r="B93" s="186" t="s">
        <v>387</v>
      </c>
      <c r="C93" s="272" t="s">
        <v>137</v>
      </c>
      <c r="D93" s="184">
        <v>800</v>
      </c>
      <c r="E93" s="182">
        <v>650</v>
      </c>
      <c r="F93" s="140">
        <f t="shared" si="1"/>
        <v>0</v>
      </c>
      <c r="G93" s="219"/>
      <c r="H93" s="448"/>
      <c r="I93" s="64"/>
      <c r="J93" s="58"/>
      <c r="K93" s="58"/>
      <c r="L93" s="64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</row>
    <row r="94" spans="1:68" ht="25.25" customHeight="1">
      <c r="A94" s="689"/>
      <c r="B94" s="187" t="s">
        <v>471</v>
      </c>
      <c r="C94" s="284"/>
      <c r="D94" s="184">
        <v>3800</v>
      </c>
      <c r="E94" s="182">
        <v>3200</v>
      </c>
      <c r="F94" s="140">
        <f t="shared" si="1"/>
        <v>0</v>
      </c>
      <c r="G94" s="219"/>
      <c r="H94" s="448"/>
      <c r="I94" s="64"/>
      <c r="J94" s="58"/>
      <c r="K94" s="58"/>
      <c r="L94" s="64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</row>
    <row r="95" spans="1:68" ht="25.25" customHeight="1">
      <c r="A95" s="689"/>
      <c r="B95" s="187" t="s">
        <v>472</v>
      </c>
      <c r="C95" s="284"/>
      <c r="D95" s="184">
        <v>3800</v>
      </c>
      <c r="E95" s="182">
        <v>3200</v>
      </c>
      <c r="F95" s="140">
        <f t="shared" si="1"/>
        <v>0</v>
      </c>
      <c r="G95" s="219"/>
      <c r="H95" s="448"/>
      <c r="I95" s="64"/>
      <c r="J95" s="58"/>
      <c r="K95" s="58"/>
      <c r="L95" s="64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</row>
    <row r="96" spans="1:68" ht="31.25" customHeight="1" thickBot="1">
      <c r="A96" s="689"/>
      <c r="B96" s="111" t="s">
        <v>280</v>
      </c>
      <c r="C96" s="545" t="s">
        <v>34</v>
      </c>
      <c r="D96" s="546">
        <v>190</v>
      </c>
      <c r="E96" s="543">
        <v>140</v>
      </c>
      <c r="F96" s="544">
        <f t="shared" si="1"/>
        <v>0</v>
      </c>
      <c r="G96" s="414"/>
      <c r="H96" s="448"/>
      <c r="I96" s="64"/>
      <c r="J96" s="58"/>
      <c r="K96" s="58"/>
      <c r="L96" s="64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</row>
    <row r="97" spans="1:68" ht="25.25" customHeight="1" thickBot="1">
      <c r="A97" s="689"/>
      <c r="B97" s="82" t="s">
        <v>281</v>
      </c>
      <c r="C97" s="284" t="s">
        <v>34</v>
      </c>
      <c r="D97" s="184">
        <v>550</v>
      </c>
      <c r="E97" s="182">
        <v>390</v>
      </c>
      <c r="F97" s="138">
        <f t="shared" si="1"/>
        <v>0</v>
      </c>
      <c r="G97" s="218"/>
      <c r="H97" s="448"/>
      <c r="I97" s="64"/>
      <c r="J97" s="58"/>
      <c r="K97" s="58"/>
      <c r="L97" s="64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</row>
    <row r="98" spans="1:68" ht="25.25" customHeight="1" thickBot="1">
      <c r="A98" s="689"/>
      <c r="B98" s="82" t="s">
        <v>518</v>
      </c>
      <c r="C98" s="284" t="s">
        <v>9</v>
      </c>
      <c r="D98" s="184">
        <v>850</v>
      </c>
      <c r="E98" s="182">
        <v>700</v>
      </c>
      <c r="F98" s="140">
        <f t="shared" si="1"/>
        <v>0</v>
      </c>
      <c r="G98" s="360" t="s">
        <v>512</v>
      </c>
      <c r="H98" s="448"/>
      <c r="I98" s="64"/>
      <c r="J98" s="58"/>
      <c r="K98" s="58"/>
      <c r="L98" s="64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</row>
    <row r="99" spans="1:68" ht="25.25" customHeight="1" thickBot="1">
      <c r="A99" s="689"/>
      <c r="B99" s="82" t="s">
        <v>519</v>
      </c>
      <c r="C99" s="284" t="s">
        <v>42</v>
      </c>
      <c r="D99" s="184">
        <v>1100</v>
      </c>
      <c r="E99" s="182">
        <v>850</v>
      </c>
      <c r="F99" s="140">
        <f t="shared" si="1"/>
        <v>0</v>
      </c>
      <c r="G99" s="360" t="s">
        <v>512</v>
      </c>
      <c r="H99" s="448"/>
      <c r="I99" s="64"/>
      <c r="J99" s="58"/>
      <c r="K99" s="58"/>
      <c r="L99" s="64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</row>
    <row r="100" spans="1:68" ht="25.25" customHeight="1" thickBot="1">
      <c r="A100" s="689"/>
      <c r="B100" s="82" t="s">
        <v>520</v>
      </c>
      <c r="C100" s="272" t="s">
        <v>41</v>
      </c>
      <c r="D100" s="184">
        <v>1100</v>
      </c>
      <c r="E100" s="182">
        <v>850</v>
      </c>
      <c r="F100" s="140">
        <f t="shared" si="1"/>
        <v>0</v>
      </c>
      <c r="G100" s="360" t="s">
        <v>512</v>
      </c>
      <c r="H100" s="448"/>
      <c r="I100" s="64"/>
      <c r="J100" s="58"/>
      <c r="K100" s="58"/>
      <c r="L100" s="64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</row>
    <row r="101" spans="1:68" ht="25.25" customHeight="1" thickBot="1">
      <c r="A101" s="690"/>
      <c r="B101" s="313" t="s">
        <v>453</v>
      </c>
      <c r="C101" s="284" t="s">
        <v>10</v>
      </c>
      <c r="D101" s="58">
        <v>750</v>
      </c>
      <c r="E101" s="182">
        <v>700</v>
      </c>
      <c r="F101" s="138">
        <f t="shared" si="1"/>
        <v>0</v>
      </c>
      <c r="G101" s="360" t="s">
        <v>822</v>
      </c>
      <c r="H101" s="448"/>
      <c r="I101" s="64"/>
      <c r="J101" s="58"/>
      <c r="K101" s="58"/>
      <c r="L101" s="64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</row>
    <row r="102" spans="1:68" ht="25.25" customHeight="1">
      <c r="A102" s="690"/>
      <c r="B102" s="313" t="s">
        <v>454</v>
      </c>
      <c r="C102" s="284" t="s">
        <v>10</v>
      </c>
      <c r="D102" s="58">
        <v>750</v>
      </c>
      <c r="E102" s="182">
        <v>700</v>
      </c>
      <c r="F102" s="138">
        <f t="shared" si="1"/>
        <v>0</v>
      </c>
      <c r="G102" s="360" t="s">
        <v>822</v>
      </c>
      <c r="H102" s="448"/>
      <c r="I102" s="64"/>
      <c r="J102" s="58"/>
      <c r="K102" s="58"/>
      <c r="L102" s="64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</row>
    <row r="103" spans="1:68" ht="25.25" customHeight="1" thickBot="1">
      <c r="A103" s="691"/>
      <c r="B103" s="162"/>
      <c r="C103" s="282"/>
      <c r="D103" s="100"/>
      <c r="E103" s="54"/>
      <c r="F103" s="138">
        <f t="shared" si="1"/>
        <v>0</v>
      </c>
      <c r="G103" s="220"/>
      <c r="H103" s="448"/>
      <c r="I103" s="64"/>
      <c r="J103" s="58"/>
      <c r="K103" s="58"/>
      <c r="L103" s="64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</row>
    <row r="104" spans="1:68" ht="34.75" customHeight="1">
      <c r="A104" s="692" t="s">
        <v>532</v>
      </c>
      <c r="B104" s="482" t="s">
        <v>209</v>
      </c>
      <c r="C104" s="562" t="s">
        <v>5</v>
      </c>
      <c r="D104" s="112">
        <v>390</v>
      </c>
      <c r="E104" s="113">
        <v>249</v>
      </c>
      <c r="F104" s="230">
        <f t="shared" si="1"/>
        <v>0</v>
      </c>
      <c r="G104" s="563" t="s">
        <v>838</v>
      </c>
      <c r="H104" s="448"/>
      <c r="I104" s="64"/>
      <c r="J104" s="58"/>
      <c r="K104" s="58"/>
      <c r="L104" s="64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</row>
    <row r="105" spans="1:68" ht="31.25" customHeight="1">
      <c r="A105" s="692"/>
      <c r="B105" s="164" t="s">
        <v>210</v>
      </c>
      <c r="C105" s="272" t="s">
        <v>4</v>
      </c>
      <c r="D105" s="58">
        <v>450</v>
      </c>
      <c r="E105" s="182">
        <v>320</v>
      </c>
      <c r="F105" s="138">
        <f t="shared" si="1"/>
        <v>0</v>
      </c>
      <c r="G105" s="221" t="s">
        <v>360</v>
      </c>
      <c r="H105" s="448"/>
      <c r="I105" s="64"/>
      <c r="J105" s="58"/>
      <c r="K105" s="58"/>
      <c r="L105" s="64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</row>
    <row r="106" spans="1:68" ht="31.25" customHeight="1">
      <c r="A106" s="692"/>
      <c r="B106" s="556" t="s">
        <v>651</v>
      </c>
      <c r="C106" s="291" t="s">
        <v>4</v>
      </c>
      <c r="D106" s="99">
        <v>490</v>
      </c>
      <c r="E106" s="90">
        <v>390</v>
      </c>
      <c r="F106" s="179">
        <f t="shared" si="1"/>
        <v>0</v>
      </c>
      <c r="G106" s="548" t="s">
        <v>836</v>
      </c>
      <c r="H106" s="448"/>
      <c r="I106" s="64"/>
      <c r="J106" s="58"/>
      <c r="K106" s="58"/>
      <c r="L106" s="64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</row>
    <row r="107" spans="1:68" ht="34.75" customHeight="1">
      <c r="A107" s="692"/>
      <c r="B107" s="111" t="s">
        <v>23</v>
      </c>
      <c r="C107" s="272" t="s">
        <v>4</v>
      </c>
      <c r="D107" s="58">
        <v>250</v>
      </c>
      <c r="E107" s="182">
        <v>150</v>
      </c>
      <c r="F107" s="138">
        <f t="shared" si="1"/>
        <v>0</v>
      </c>
      <c r="G107" s="547"/>
      <c r="H107" s="448"/>
      <c r="I107" s="64"/>
      <c r="J107" s="58"/>
      <c r="K107" s="58"/>
      <c r="L107" s="64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</row>
    <row r="108" spans="1:68" ht="29.4" customHeight="1">
      <c r="A108" s="692"/>
      <c r="B108" s="350" t="s">
        <v>97</v>
      </c>
      <c r="C108" s="274" t="s">
        <v>4</v>
      </c>
      <c r="D108" s="58">
        <v>100</v>
      </c>
      <c r="E108" s="182">
        <v>99</v>
      </c>
      <c r="F108" s="138">
        <f t="shared" si="1"/>
        <v>0</v>
      </c>
      <c r="G108" s="443" t="s">
        <v>161</v>
      </c>
      <c r="H108" s="448"/>
      <c r="I108" s="64"/>
      <c r="J108" s="58"/>
      <c r="K108" s="58"/>
      <c r="L108" s="64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</row>
    <row r="109" spans="1:68" ht="25.25" customHeight="1">
      <c r="A109" s="692"/>
      <c r="B109" s="399" t="s">
        <v>378</v>
      </c>
      <c r="C109" s="400" t="s">
        <v>524</v>
      </c>
      <c r="D109" s="339">
        <v>280</v>
      </c>
      <c r="E109" s="340">
        <v>168</v>
      </c>
      <c r="F109" s="369">
        <f t="shared" si="1"/>
        <v>0</v>
      </c>
      <c r="G109" s="520" t="s">
        <v>823</v>
      </c>
      <c r="H109" s="448"/>
      <c r="I109" s="64"/>
      <c r="J109" s="58"/>
      <c r="K109" s="58"/>
      <c r="L109" s="64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</row>
    <row r="110" spans="1:68" ht="25.25" customHeight="1">
      <c r="A110" s="692"/>
      <c r="B110" s="399" t="s">
        <v>96</v>
      </c>
      <c r="C110" s="400" t="s">
        <v>524</v>
      </c>
      <c r="D110" s="339">
        <v>280</v>
      </c>
      <c r="E110" s="340">
        <v>168</v>
      </c>
      <c r="F110" s="369">
        <f t="shared" si="1"/>
        <v>0</v>
      </c>
      <c r="G110" s="520" t="s">
        <v>823</v>
      </c>
      <c r="H110" s="448"/>
      <c r="I110" s="64"/>
      <c r="J110" s="58"/>
      <c r="K110" s="58"/>
      <c r="L110" s="64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</row>
    <row r="111" spans="1:68" ht="25.25" customHeight="1">
      <c r="A111" s="692"/>
      <c r="B111" s="399" t="s">
        <v>339</v>
      </c>
      <c r="C111" s="400" t="s">
        <v>524</v>
      </c>
      <c r="D111" s="339">
        <v>280</v>
      </c>
      <c r="E111" s="340">
        <v>168</v>
      </c>
      <c r="F111" s="369">
        <f t="shared" si="1"/>
        <v>0</v>
      </c>
      <c r="G111" s="520" t="s">
        <v>823</v>
      </c>
      <c r="H111" s="448"/>
      <c r="I111" s="64"/>
      <c r="J111" s="58"/>
      <c r="K111" s="58"/>
      <c r="L111" s="64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</row>
    <row r="112" spans="1:68" ht="25.25" customHeight="1">
      <c r="A112" s="692"/>
      <c r="B112" s="399" t="s">
        <v>340</v>
      </c>
      <c r="C112" s="400" t="s">
        <v>524</v>
      </c>
      <c r="D112" s="339">
        <v>280</v>
      </c>
      <c r="E112" s="340">
        <v>168</v>
      </c>
      <c r="F112" s="369">
        <f t="shared" si="1"/>
        <v>0</v>
      </c>
      <c r="G112" s="520" t="s">
        <v>823</v>
      </c>
      <c r="H112" s="448"/>
      <c r="I112" s="64"/>
      <c r="J112" s="58"/>
      <c r="K112" s="58"/>
      <c r="L112" s="64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</row>
    <row r="113" spans="1:68" ht="25.25" customHeight="1">
      <c r="A113" s="692"/>
      <c r="B113" s="399" t="s">
        <v>341</v>
      </c>
      <c r="C113" s="400" t="s">
        <v>524</v>
      </c>
      <c r="D113" s="339">
        <v>280</v>
      </c>
      <c r="E113" s="340">
        <v>168</v>
      </c>
      <c r="F113" s="369">
        <f t="shared" si="1"/>
        <v>0</v>
      </c>
      <c r="G113" s="520" t="s">
        <v>823</v>
      </c>
      <c r="H113" s="448"/>
      <c r="I113" s="64"/>
      <c r="J113" s="58"/>
      <c r="K113" s="58"/>
      <c r="L113" s="64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</row>
    <row r="114" spans="1:68" ht="25.25" customHeight="1">
      <c r="A114" s="692"/>
      <c r="B114" s="399" t="s">
        <v>644</v>
      </c>
      <c r="C114" s="400" t="s">
        <v>524</v>
      </c>
      <c r="D114" s="339">
        <v>299</v>
      </c>
      <c r="E114" s="340">
        <v>168</v>
      </c>
      <c r="F114" s="369">
        <f t="shared" si="1"/>
        <v>0</v>
      </c>
      <c r="G114" s="520" t="s">
        <v>823</v>
      </c>
      <c r="H114" s="448"/>
      <c r="I114" s="64"/>
      <c r="J114" s="58"/>
      <c r="K114" s="58"/>
      <c r="L114" s="64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</row>
    <row r="115" spans="1:68" ht="25.25" customHeight="1">
      <c r="A115" s="692"/>
      <c r="B115" s="399" t="s">
        <v>645</v>
      </c>
      <c r="C115" s="400" t="s">
        <v>524</v>
      </c>
      <c r="D115" s="339">
        <v>299</v>
      </c>
      <c r="E115" s="340">
        <v>168</v>
      </c>
      <c r="F115" s="369">
        <f t="shared" si="1"/>
        <v>0</v>
      </c>
      <c r="G115" s="520" t="s">
        <v>823</v>
      </c>
      <c r="H115" s="448"/>
      <c r="I115" s="64"/>
      <c r="J115" s="58"/>
      <c r="K115" s="58"/>
      <c r="L115" s="64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</row>
    <row r="116" spans="1:68" ht="25.25" customHeight="1">
      <c r="A116" s="692"/>
      <c r="B116" s="399" t="s">
        <v>646</v>
      </c>
      <c r="C116" s="400" t="s">
        <v>524</v>
      </c>
      <c r="D116" s="339">
        <v>299</v>
      </c>
      <c r="E116" s="340">
        <v>168</v>
      </c>
      <c r="F116" s="369">
        <f t="shared" si="1"/>
        <v>0</v>
      </c>
      <c r="G116" s="520" t="s">
        <v>823</v>
      </c>
      <c r="H116" s="448"/>
      <c r="I116" s="64"/>
      <c r="J116" s="58"/>
      <c r="K116" s="58"/>
      <c r="L116" s="64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</row>
    <row r="117" spans="1:68" ht="25.25" customHeight="1">
      <c r="A117" s="692"/>
      <c r="B117" s="89" t="s">
        <v>98</v>
      </c>
      <c r="C117" s="277" t="s">
        <v>524</v>
      </c>
      <c r="D117" s="91">
        <v>165</v>
      </c>
      <c r="E117" s="90">
        <v>150</v>
      </c>
      <c r="F117" s="179">
        <f t="shared" si="1"/>
        <v>0</v>
      </c>
      <c r="G117" s="519" t="s">
        <v>643</v>
      </c>
      <c r="H117" s="448"/>
      <c r="I117" s="64"/>
      <c r="J117" s="58"/>
      <c r="K117" s="58"/>
      <c r="L117" s="64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</row>
    <row r="118" spans="1:68" ht="25.25" customHeight="1">
      <c r="A118" s="692"/>
      <c r="B118" s="89" t="s">
        <v>99</v>
      </c>
      <c r="C118" s="277" t="s">
        <v>524</v>
      </c>
      <c r="D118" s="91">
        <v>165</v>
      </c>
      <c r="E118" s="90">
        <v>150</v>
      </c>
      <c r="F118" s="179">
        <f t="shared" si="1"/>
        <v>0</v>
      </c>
      <c r="G118" s="401" t="s">
        <v>643</v>
      </c>
      <c r="H118" s="448"/>
      <c r="I118" s="64"/>
      <c r="J118" s="58"/>
      <c r="K118" s="58"/>
      <c r="L118" s="64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</row>
    <row r="119" spans="1:68" ht="25.25" customHeight="1">
      <c r="A119" s="692"/>
      <c r="B119" s="89" t="s">
        <v>100</v>
      </c>
      <c r="C119" s="277" t="s">
        <v>524</v>
      </c>
      <c r="D119" s="91">
        <v>165</v>
      </c>
      <c r="E119" s="90">
        <v>150</v>
      </c>
      <c r="F119" s="179">
        <f t="shared" si="1"/>
        <v>0</v>
      </c>
      <c r="G119" s="401" t="s">
        <v>643</v>
      </c>
      <c r="H119" s="448"/>
      <c r="I119" s="64"/>
      <c r="J119" s="58"/>
      <c r="K119" s="58"/>
      <c r="L119" s="64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</row>
    <row r="120" spans="1:68" ht="25.25" customHeight="1">
      <c r="A120" s="692"/>
      <c r="B120" s="89" t="s">
        <v>101</v>
      </c>
      <c r="C120" s="277" t="s">
        <v>524</v>
      </c>
      <c r="D120" s="91">
        <v>165</v>
      </c>
      <c r="E120" s="90">
        <v>150</v>
      </c>
      <c r="F120" s="311">
        <f t="shared" si="1"/>
        <v>0</v>
      </c>
      <c r="G120" s="401" t="s">
        <v>643</v>
      </c>
      <c r="H120" s="448"/>
      <c r="I120" s="64"/>
      <c r="J120" s="58"/>
      <c r="K120" s="58"/>
      <c r="L120" s="64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</row>
    <row r="121" spans="1:68" ht="25.25" customHeight="1">
      <c r="A121" s="692"/>
      <c r="B121" s="89" t="s">
        <v>523</v>
      </c>
      <c r="C121" s="277" t="s">
        <v>524</v>
      </c>
      <c r="D121" s="91">
        <v>180</v>
      </c>
      <c r="E121" s="90">
        <v>150</v>
      </c>
      <c r="F121" s="311">
        <f t="shared" si="1"/>
        <v>0</v>
      </c>
      <c r="G121" s="401" t="s">
        <v>643</v>
      </c>
      <c r="H121" s="448"/>
      <c r="I121" s="64"/>
      <c r="J121" s="58"/>
      <c r="K121" s="58"/>
      <c r="L121" s="64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</row>
    <row r="122" spans="1:68" ht="25.25" customHeight="1">
      <c r="A122" s="692"/>
      <c r="B122" s="89" t="s">
        <v>525</v>
      </c>
      <c r="C122" s="277" t="s">
        <v>524</v>
      </c>
      <c r="D122" s="91">
        <v>180</v>
      </c>
      <c r="E122" s="90">
        <v>150</v>
      </c>
      <c r="F122" s="311">
        <f t="shared" si="1"/>
        <v>0</v>
      </c>
      <c r="G122" s="401" t="s">
        <v>643</v>
      </c>
      <c r="H122" s="448"/>
      <c r="I122" s="64"/>
      <c r="J122" s="58"/>
      <c r="K122" s="58"/>
      <c r="L122" s="64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</row>
    <row r="123" spans="1:68" ht="25.25" customHeight="1">
      <c r="A123" s="692"/>
      <c r="B123" s="89" t="s">
        <v>526</v>
      </c>
      <c r="C123" s="277" t="s">
        <v>524</v>
      </c>
      <c r="D123" s="91">
        <v>180</v>
      </c>
      <c r="E123" s="90">
        <v>150</v>
      </c>
      <c r="F123" s="311">
        <f t="shared" si="1"/>
        <v>0</v>
      </c>
      <c r="G123" s="401" t="s">
        <v>643</v>
      </c>
      <c r="H123" s="448"/>
      <c r="I123" s="64"/>
      <c r="J123" s="58"/>
      <c r="K123" s="58"/>
      <c r="L123" s="64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</row>
    <row r="124" spans="1:68" ht="25.25" customHeight="1">
      <c r="A124" s="692"/>
      <c r="B124" s="399" t="s">
        <v>342</v>
      </c>
      <c r="C124" s="400" t="s">
        <v>524</v>
      </c>
      <c r="D124" s="339">
        <v>280</v>
      </c>
      <c r="E124" s="340">
        <v>99</v>
      </c>
      <c r="F124" s="369">
        <f t="shared" si="1"/>
        <v>0</v>
      </c>
      <c r="G124" s="483" t="s">
        <v>824</v>
      </c>
      <c r="H124" s="448"/>
      <c r="I124" s="64"/>
      <c r="J124" s="58"/>
      <c r="K124" s="58"/>
      <c r="L124" s="64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</row>
    <row r="125" spans="1:68" ht="25.25" customHeight="1">
      <c r="A125" s="692"/>
      <c r="B125" s="399" t="s">
        <v>343</v>
      </c>
      <c r="C125" s="400" t="s">
        <v>524</v>
      </c>
      <c r="D125" s="339">
        <v>280</v>
      </c>
      <c r="E125" s="340">
        <v>99</v>
      </c>
      <c r="F125" s="369">
        <f t="shared" si="1"/>
        <v>0</v>
      </c>
      <c r="G125" s="483" t="s">
        <v>623</v>
      </c>
      <c r="H125" s="448"/>
      <c r="I125" s="64"/>
      <c r="J125" s="58"/>
      <c r="K125" s="58"/>
      <c r="L125" s="64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</row>
    <row r="126" spans="1:68" ht="25.25" customHeight="1">
      <c r="A126" s="692"/>
      <c r="B126" s="399" t="s">
        <v>94</v>
      </c>
      <c r="C126" s="400" t="s">
        <v>524</v>
      </c>
      <c r="D126" s="339">
        <v>280</v>
      </c>
      <c r="E126" s="340">
        <v>99</v>
      </c>
      <c r="F126" s="369">
        <f t="shared" si="1"/>
        <v>0</v>
      </c>
      <c r="G126" s="483" t="s">
        <v>624</v>
      </c>
      <c r="H126" s="448"/>
      <c r="I126" s="64"/>
      <c r="J126" s="58"/>
      <c r="K126" s="58"/>
      <c r="L126" s="64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</row>
    <row r="127" spans="1:68" ht="25.25" customHeight="1">
      <c r="A127" s="692"/>
      <c r="B127" s="399" t="s">
        <v>95</v>
      </c>
      <c r="C127" s="400" t="s">
        <v>524</v>
      </c>
      <c r="D127" s="339">
        <v>280</v>
      </c>
      <c r="E127" s="340">
        <v>99</v>
      </c>
      <c r="F127" s="369">
        <f t="shared" si="1"/>
        <v>0</v>
      </c>
      <c r="G127" s="483"/>
      <c r="H127" s="448"/>
      <c r="I127" s="64"/>
      <c r="J127" s="58"/>
      <c r="K127" s="58"/>
      <c r="L127" s="64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</row>
    <row r="128" spans="1:68" ht="25.25" customHeight="1" thickBot="1">
      <c r="A128" s="693"/>
      <c r="B128" s="79"/>
      <c r="C128" s="276"/>
      <c r="D128" s="100"/>
      <c r="E128" s="54"/>
      <c r="F128" s="128">
        <f t="shared" si="1"/>
        <v>0</v>
      </c>
      <c r="G128" s="349"/>
      <c r="H128" s="448"/>
      <c r="I128" s="64"/>
      <c r="J128" s="58"/>
      <c r="K128" s="58"/>
      <c r="L128" s="64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</row>
    <row r="129" spans="1:68" ht="30.65" customHeight="1" thickBot="1">
      <c r="A129" s="704" t="s">
        <v>555</v>
      </c>
      <c r="B129" s="549" t="s">
        <v>261</v>
      </c>
      <c r="C129" s="550" t="s">
        <v>175</v>
      </c>
      <c r="D129" s="551">
        <v>399</v>
      </c>
      <c r="E129" s="552">
        <v>298</v>
      </c>
      <c r="F129" s="553">
        <f t="shared" si="1"/>
        <v>0</v>
      </c>
      <c r="G129" s="554" t="s">
        <v>829</v>
      </c>
      <c r="H129" s="452"/>
      <c r="I129" s="64"/>
      <c r="J129" s="58"/>
      <c r="K129" s="58"/>
      <c r="L129" s="64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</row>
    <row r="130" spans="1:68" ht="25.25" customHeight="1" thickBot="1">
      <c r="A130" s="705"/>
      <c r="B130" s="521" t="s">
        <v>568</v>
      </c>
      <c r="C130" s="550" t="s">
        <v>165</v>
      </c>
      <c r="D130" s="339">
        <v>680</v>
      </c>
      <c r="E130" s="340">
        <v>450</v>
      </c>
      <c r="F130" s="369">
        <f t="shared" si="1"/>
        <v>0</v>
      </c>
      <c r="G130" s="554" t="s">
        <v>829</v>
      </c>
      <c r="H130" s="452"/>
      <c r="I130" s="64"/>
      <c r="J130" s="58"/>
      <c r="K130" s="58"/>
      <c r="L130" s="64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</row>
    <row r="131" spans="1:68" ht="37.25" customHeight="1" thickBot="1">
      <c r="A131" s="705"/>
      <c r="B131" s="521" t="s">
        <v>745</v>
      </c>
      <c r="C131" s="550" t="s">
        <v>175</v>
      </c>
      <c r="D131" s="339">
        <v>550</v>
      </c>
      <c r="E131" s="340">
        <v>398</v>
      </c>
      <c r="F131" s="369">
        <f t="shared" si="1"/>
        <v>0</v>
      </c>
      <c r="G131" s="554" t="s">
        <v>829</v>
      </c>
      <c r="H131" s="452"/>
      <c r="I131" s="64"/>
      <c r="J131" s="58"/>
      <c r="K131" s="58"/>
      <c r="L131" s="64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</row>
    <row r="132" spans="1:68" s="63" customFormat="1" ht="25.25" customHeight="1" thickBot="1">
      <c r="A132" s="696" t="s">
        <v>80</v>
      </c>
      <c r="B132" s="568" t="s">
        <v>633</v>
      </c>
      <c r="C132" s="569" t="s">
        <v>25</v>
      </c>
      <c r="D132" s="570">
        <v>650</v>
      </c>
      <c r="E132" s="571">
        <v>480</v>
      </c>
      <c r="F132" s="572">
        <f t="shared" si="1"/>
        <v>0</v>
      </c>
      <c r="G132" s="573" t="s">
        <v>757</v>
      </c>
      <c r="H132" s="451"/>
      <c r="I132" s="66"/>
      <c r="J132" s="65"/>
      <c r="K132" s="65"/>
      <c r="L132" s="66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</row>
    <row r="133" spans="1:68" s="63" customFormat="1" ht="25.25" customHeight="1" thickBot="1">
      <c r="A133" s="697"/>
      <c r="B133" s="306" t="s">
        <v>634</v>
      </c>
      <c r="C133" s="569" t="s">
        <v>25</v>
      </c>
      <c r="D133" s="191">
        <v>650</v>
      </c>
      <c r="E133" s="185">
        <v>480</v>
      </c>
      <c r="F133" s="247">
        <f t="shared" ref="F133:F196" si="2">SUM(I133:BP133)</f>
        <v>0</v>
      </c>
      <c r="G133" s="573" t="s">
        <v>757</v>
      </c>
      <c r="H133" s="451"/>
      <c r="I133" s="66"/>
      <c r="J133" s="65"/>
      <c r="K133" s="65"/>
      <c r="L133" s="66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</row>
    <row r="134" spans="1:68" s="63" customFormat="1" ht="25.25" customHeight="1" thickBot="1">
      <c r="A134" s="697"/>
      <c r="B134" s="82" t="s">
        <v>635</v>
      </c>
      <c r="C134" s="283" t="s">
        <v>25</v>
      </c>
      <c r="D134" s="58">
        <v>1080</v>
      </c>
      <c r="E134" s="182">
        <v>850</v>
      </c>
      <c r="F134" s="163">
        <f t="shared" si="2"/>
        <v>0</v>
      </c>
      <c r="G134" s="195" t="s">
        <v>750</v>
      </c>
      <c r="H134" s="451"/>
      <c r="I134" s="66"/>
      <c r="J134" s="65"/>
      <c r="K134" s="65"/>
      <c r="L134" s="66"/>
      <c r="M134" s="65"/>
      <c r="N134" s="66"/>
      <c r="O134" s="65"/>
      <c r="P134" s="66"/>
      <c r="Q134" s="65"/>
      <c r="R134" s="66"/>
      <c r="S134" s="65"/>
      <c r="T134" s="66"/>
      <c r="U134" s="65"/>
      <c r="V134" s="66"/>
      <c r="W134" s="65"/>
      <c r="X134" s="66"/>
      <c r="Y134" s="65"/>
      <c r="Z134" s="66"/>
      <c r="AA134" s="65"/>
      <c r="AB134" s="66"/>
      <c r="AC134" s="65"/>
      <c r="AD134" s="66"/>
      <c r="AE134" s="65"/>
      <c r="AF134" s="66"/>
      <c r="AG134" s="65"/>
      <c r="AH134" s="66"/>
      <c r="AI134" s="65"/>
      <c r="AJ134" s="66"/>
      <c r="AK134" s="65"/>
      <c r="AL134" s="66"/>
      <c r="AM134" s="65"/>
      <c r="AN134" s="66"/>
      <c r="AO134" s="65"/>
      <c r="AP134" s="66"/>
      <c r="AQ134" s="65"/>
      <c r="AR134" s="66"/>
      <c r="AS134" s="65"/>
      <c r="AT134" s="66"/>
      <c r="AU134" s="65"/>
      <c r="AV134" s="66"/>
      <c r="AW134" s="65"/>
      <c r="AX134" s="66"/>
      <c r="AY134" s="65"/>
      <c r="AZ134" s="66"/>
      <c r="BA134" s="65"/>
      <c r="BB134" s="66"/>
      <c r="BC134" s="65"/>
      <c r="BD134" s="66"/>
      <c r="BE134" s="65"/>
      <c r="BF134" s="66"/>
      <c r="BG134" s="65"/>
      <c r="BH134" s="66"/>
      <c r="BI134" s="65"/>
      <c r="BJ134" s="66"/>
      <c r="BK134" s="65"/>
      <c r="BL134" s="66"/>
      <c r="BM134" s="65"/>
      <c r="BN134" s="66"/>
      <c r="BO134" s="65"/>
      <c r="BP134" s="66"/>
    </row>
    <row r="135" spans="1:68" s="63" customFormat="1" ht="24.65" customHeight="1">
      <c r="A135" s="697"/>
      <c r="B135" s="82" t="s">
        <v>636</v>
      </c>
      <c r="C135" s="283" t="s">
        <v>25</v>
      </c>
      <c r="D135" s="58">
        <v>1080</v>
      </c>
      <c r="E135" s="182">
        <v>850</v>
      </c>
      <c r="F135" s="138">
        <f t="shared" si="2"/>
        <v>0</v>
      </c>
      <c r="G135" s="195" t="s">
        <v>749</v>
      </c>
      <c r="H135" s="451"/>
      <c r="I135" s="66"/>
      <c r="J135" s="65"/>
      <c r="K135" s="65"/>
      <c r="L135" s="66"/>
      <c r="M135" s="65"/>
      <c r="N135" s="66"/>
      <c r="O135" s="65"/>
      <c r="P135" s="66"/>
      <c r="Q135" s="65"/>
      <c r="R135" s="66"/>
      <c r="S135" s="65"/>
      <c r="T135" s="66"/>
      <c r="U135" s="65"/>
      <c r="V135" s="66"/>
      <c r="W135" s="65"/>
      <c r="X135" s="66"/>
      <c r="Y135" s="65"/>
      <c r="Z135" s="66"/>
      <c r="AA135" s="65"/>
      <c r="AB135" s="66"/>
      <c r="AC135" s="65"/>
      <c r="AD135" s="66"/>
      <c r="AE135" s="65"/>
      <c r="AF135" s="66"/>
      <c r="AG135" s="65"/>
      <c r="AH135" s="66"/>
      <c r="AI135" s="65"/>
      <c r="AJ135" s="66"/>
      <c r="AK135" s="65"/>
      <c r="AL135" s="66"/>
      <c r="AM135" s="65"/>
      <c r="AN135" s="66"/>
      <c r="AO135" s="65"/>
      <c r="AP135" s="66"/>
      <c r="AQ135" s="65"/>
      <c r="AR135" s="66"/>
      <c r="AS135" s="65"/>
      <c r="AT135" s="66"/>
      <c r="AU135" s="65"/>
      <c r="AV135" s="66"/>
      <c r="AW135" s="65"/>
      <c r="AX135" s="66"/>
      <c r="AY135" s="65"/>
      <c r="AZ135" s="66"/>
      <c r="BA135" s="65"/>
      <c r="BB135" s="66"/>
      <c r="BC135" s="65"/>
      <c r="BD135" s="66"/>
      <c r="BE135" s="65"/>
      <c r="BF135" s="66"/>
      <c r="BG135" s="65"/>
      <c r="BH135" s="66"/>
      <c r="BI135" s="65"/>
      <c r="BJ135" s="66"/>
      <c r="BK135" s="65"/>
      <c r="BL135" s="66"/>
      <c r="BM135" s="65"/>
      <c r="BN135" s="66"/>
      <c r="BO135" s="65"/>
      <c r="BP135" s="66"/>
    </row>
    <row r="136" spans="1:68" s="63" customFormat="1" ht="25.25" customHeight="1">
      <c r="A136" s="697"/>
      <c r="B136" s="82" t="s">
        <v>485</v>
      </c>
      <c r="C136" s="272" t="s">
        <v>27</v>
      </c>
      <c r="D136" s="58">
        <v>900</v>
      </c>
      <c r="E136" s="182">
        <v>750</v>
      </c>
      <c r="F136" s="138">
        <f t="shared" si="2"/>
        <v>0</v>
      </c>
      <c r="G136" s="168"/>
      <c r="H136" s="451"/>
      <c r="I136" s="66"/>
      <c r="J136" s="65"/>
      <c r="K136" s="65"/>
      <c r="L136" s="66"/>
      <c r="M136" s="65"/>
      <c r="N136" s="66"/>
      <c r="O136" s="65"/>
      <c r="P136" s="66"/>
      <c r="Q136" s="65"/>
      <c r="R136" s="66"/>
      <c r="S136" s="65"/>
      <c r="T136" s="66"/>
      <c r="U136" s="65"/>
      <c r="V136" s="66"/>
      <c r="W136" s="65"/>
      <c r="X136" s="66"/>
      <c r="Y136" s="65"/>
      <c r="Z136" s="66"/>
      <c r="AA136" s="65"/>
      <c r="AB136" s="66"/>
      <c r="AC136" s="65"/>
      <c r="AD136" s="66"/>
      <c r="AE136" s="65"/>
      <c r="AF136" s="66"/>
      <c r="AG136" s="65"/>
      <c r="AH136" s="66"/>
      <c r="AI136" s="65"/>
      <c r="AJ136" s="66"/>
      <c r="AK136" s="65"/>
      <c r="AL136" s="66"/>
      <c r="AM136" s="65"/>
      <c r="AN136" s="66"/>
      <c r="AO136" s="65"/>
      <c r="AP136" s="66"/>
      <c r="AQ136" s="65"/>
      <c r="AR136" s="66"/>
      <c r="AS136" s="65"/>
      <c r="AT136" s="66"/>
      <c r="AU136" s="65"/>
      <c r="AV136" s="66"/>
      <c r="AW136" s="65"/>
      <c r="AX136" s="66"/>
      <c r="AY136" s="65"/>
      <c r="AZ136" s="66"/>
      <c r="BA136" s="65"/>
      <c r="BB136" s="66"/>
      <c r="BC136" s="65"/>
      <c r="BD136" s="66"/>
      <c r="BE136" s="65"/>
      <c r="BF136" s="66"/>
      <c r="BG136" s="65"/>
      <c r="BH136" s="66"/>
      <c r="BI136" s="65"/>
      <c r="BJ136" s="66"/>
      <c r="BK136" s="65"/>
      <c r="BL136" s="66"/>
      <c r="BM136" s="65"/>
      <c r="BN136" s="66"/>
      <c r="BO136" s="65"/>
      <c r="BP136" s="66"/>
    </row>
    <row r="137" spans="1:68" s="63" customFormat="1" ht="25.25" customHeight="1">
      <c r="A137" s="697"/>
      <c r="B137" s="82" t="s">
        <v>486</v>
      </c>
      <c r="C137" s="272" t="s">
        <v>27</v>
      </c>
      <c r="D137" s="58">
        <v>900</v>
      </c>
      <c r="E137" s="182">
        <v>750</v>
      </c>
      <c r="F137" s="138">
        <f t="shared" si="2"/>
        <v>0</v>
      </c>
      <c r="G137" s="168"/>
      <c r="H137" s="451"/>
      <c r="I137" s="66"/>
      <c r="J137" s="65"/>
      <c r="K137" s="65"/>
      <c r="L137" s="66"/>
      <c r="M137" s="65"/>
      <c r="N137" s="66"/>
      <c r="O137" s="65"/>
      <c r="P137" s="66"/>
      <c r="Q137" s="65"/>
      <c r="R137" s="66"/>
      <c r="S137" s="65"/>
      <c r="T137" s="66"/>
      <c r="U137" s="65"/>
      <c r="V137" s="66"/>
      <c r="W137" s="65"/>
      <c r="X137" s="66"/>
      <c r="Y137" s="65"/>
      <c r="Z137" s="66"/>
      <c r="AA137" s="65"/>
      <c r="AB137" s="66"/>
      <c r="AC137" s="65"/>
      <c r="AD137" s="66"/>
      <c r="AE137" s="65"/>
      <c r="AF137" s="66"/>
      <c r="AG137" s="65"/>
      <c r="AH137" s="66"/>
      <c r="AI137" s="65"/>
      <c r="AJ137" s="66"/>
      <c r="AK137" s="65"/>
      <c r="AL137" s="66"/>
      <c r="AM137" s="65"/>
      <c r="AN137" s="66"/>
      <c r="AO137" s="65"/>
      <c r="AP137" s="66"/>
      <c r="AQ137" s="65"/>
      <c r="AR137" s="66"/>
      <c r="AS137" s="65"/>
      <c r="AT137" s="66"/>
      <c r="AU137" s="65"/>
      <c r="AV137" s="66"/>
      <c r="AW137" s="65"/>
      <c r="AX137" s="66"/>
      <c r="AY137" s="65"/>
      <c r="AZ137" s="66"/>
      <c r="BA137" s="65"/>
      <c r="BB137" s="66"/>
      <c r="BC137" s="65"/>
      <c r="BD137" s="66"/>
      <c r="BE137" s="65"/>
      <c r="BF137" s="66"/>
      <c r="BG137" s="65"/>
      <c r="BH137" s="66"/>
      <c r="BI137" s="65"/>
      <c r="BJ137" s="66"/>
      <c r="BK137" s="65"/>
      <c r="BL137" s="66"/>
      <c r="BM137" s="65"/>
      <c r="BN137" s="66"/>
      <c r="BO137" s="65"/>
      <c r="BP137" s="66"/>
    </row>
    <row r="138" spans="1:68" s="63" customFormat="1" ht="25.25" customHeight="1">
      <c r="A138" s="697"/>
      <c r="B138" s="82" t="s">
        <v>487</v>
      </c>
      <c r="C138" s="272" t="s">
        <v>27</v>
      </c>
      <c r="D138" s="58">
        <v>900</v>
      </c>
      <c r="E138" s="182">
        <v>750</v>
      </c>
      <c r="F138" s="138">
        <f t="shared" si="2"/>
        <v>0</v>
      </c>
      <c r="G138" s="168"/>
      <c r="H138" s="451"/>
      <c r="I138" s="66"/>
      <c r="J138" s="65"/>
      <c r="K138" s="65"/>
      <c r="L138" s="66"/>
      <c r="M138" s="65"/>
      <c r="N138" s="66"/>
      <c r="O138" s="65"/>
      <c r="P138" s="66"/>
      <c r="Q138" s="65"/>
      <c r="R138" s="66"/>
      <c r="S138" s="65"/>
      <c r="T138" s="66"/>
      <c r="U138" s="65"/>
      <c r="V138" s="66"/>
      <c r="W138" s="65"/>
      <c r="X138" s="66"/>
      <c r="Y138" s="65"/>
      <c r="Z138" s="66"/>
      <c r="AA138" s="65"/>
      <c r="AB138" s="66"/>
      <c r="AC138" s="65"/>
      <c r="AD138" s="66"/>
      <c r="AE138" s="65"/>
      <c r="AF138" s="66"/>
      <c r="AG138" s="65"/>
      <c r="AH138" s="66"/>
      <c r="AI138" s="65"/>
      <c r="AJ138" s="66"/>
      <c r="AK138" s="65"/>
      <c r="AL138" s="66"/>
      <c r="AM138" s="65"/>
      <c r="AN138" s="66"/>
      <c r="AO138" s="65"/>
      <c r="AP138" s="66"/>
      <c r="AQ138" s="65"/>
      <c r="AR138" s="66"/>
      <c r="AS138" s="65"/>
      <c r="AT138" s="66"/>
      <c r="AU138" s="65"/>
      <c r="AV138" s="66"/>
      <c r="AW138" s="65"/>
      <c r="AX138" s="66"/>
      <c r="AY138" s="65"/>
      <c r="AZ138" s="66"/>
      <c r="BA138" s="65"/>
      <c r="BB138" s="66"/>
      <c r="BC138" s="65"/>
      <c r="BD138" s="66"/>
      <c r="BE138" s="65"/>
      <c r="BF138" s="66"/>
      <c r="BG138" s="65"/>
      <c r="BH138" s="66"/>
      <c r="BI138" s="65"/>
      <c r="BJ138" s="66"/>
      <c r="BK138" s="65"/>
      <c r="BL138" s="66"/>
      <c r="BM138" s="65"/>
      <c r="BN138" s="66"/>
      <c r="BO138" s="65"/>
      <c r="BP138" s="66"/>
    </row>
    <row r="139" spans="1:68" s="63" customFormat="1" ht="25.25" customHeight="1">
      <c r="A139" s="697"/>
      <c r="B139" s="82" t="s">
        <v>488</v>
      </c>
      <c r="C139" s="272" t="s">
        <v>27</v>
      </c>
      <c r="D139" s="58">
        <v>900</v>
      </c>
      <c r="E139" s="182">
        <v>750</v>
      </c>
      <c r="F139" s="138">
        <f t="shared" si="2"/>
        <v>0</v>
      </c>
      <c r="G139" s="168"/>
      <c r="H139" s="451"/>
      <c r="I139" s="66"/>
      <c r="J139" s="65"/>
      <c r="K139" s="65"/>
      <c r="L139" s="66"/>
      <c r="M139" s="65"/>
      <c r="N139" s="66"/>
      <c r="O139" s="65"/>
      <c r="P139" s="66"/>
      <c r="Q139" s="65"/>
      <c r="R139" s="66"/>
      <c r="S139" s="65"/>
      <c r="T139" s="66"/>
      <c r="U139" s="65"/>
      <c r="V139" s="66"/>
      <c r="W139" s="65"/>
      <c r="X139" s="66"/>
      <c r="Y139" s="65"/>
      <c r="Z139" s="66"/>
      <c r="AA139" s="65"/>
      <c r="AB139" s="66"/>
      <c r="AC139" s="65"/>
      <c r="AD139" s="66"/>
      <c r="AE139" s="65"/>
      <c r="AF139" s="66"/>
      <c r="AG139" s="65"/>
      <c r="AH139" s="66"/>
      <c r="AI139" s="65"/>
      <c r="AJ139" s="66"/>
      <c r="AK139" s="65"/>
      <c r="AL139" s="66"/>
      <c r="AM139" s="65"/>
      <c r="AN139" s="66"/>
      <c r="AO139" s="65"/>
      <c r="AP139" s="66"/>
      <c r="AQ139" s="65"/>
      <c r="AR139" s="66"/>
      <c r="AS139" s="65"/>
      <c r="AT139" s="66"/>
      <c r="AU139" s="65"/>
      <c r="AV139" s="66"/>
      <c r="AW139" s="65"/>
      <c r="AX139" s="66"/>
      <c r="AY139" s="65"/>
      <c r="AZ139" s="66"/>
      <c r="BA139" s="65"/>
      <c r="BB139" s="66"/>
      <c r="BC139" s="65"/>
      <c r="BD139" s="66"/>
      <c r="BE139" s="65"/>
      <c r="BF139" s="66"/>
      <c r="BG139" s="65"/>
      <c r="BH139" s="66"/>
      <c r="BI139" s="65"/>
      <c r="BJ139" s="66"/>
      <c r="BK139" s="65"/>
      <c r="BL139" s="66"/>
      <c r="BM139" s="65"/>
      <c r="BN139" s="66"/>
      <c r="BO139" s="65"/>
      <c r="BP139" s="66"/>
    </row>
    <row r="140" spans="1:68" s="63" customFormat="1" ht="25.25" customHeight="1">
      <c r="A140" s="697"/>
      <c r="B140" s="82" t="s">
        <v>489</v>
      </c>
      <c r="C140" s="272" t="s">
        <v>27</v>
      </c>
      <c r="D140" s="58">
        <v>900</v>
      </c>
      <c r="E140" s="182">
        <v>750</v>
      </c>
      <c r="F140" s="138">
        <f t="shared" si="2"/>
        <v>0</v>
      </c>
      <c r="G140" s="168"/>
      <c r="H140" s="451"/>
      <c r="I140" s="66"/>
      <c r="J140" s="65"/>
      <c r="K140" s="65"/>
      <c r="L140" s="66"/>
      <c r="M140" s="65"/>
      <c r="N140" s="66"/>
      <c r="O140" s="65"/>
      <c r="P140" s="66"/>
      <c r="Q140" s="65"/>
      <c r="R140" s="66"/>
      <c r="S140" s="65"/>
      <c r="T140" s="66"/>
      <c r="U140" s="65"/>
      <c r="V140" s="66"/>
      <c r="W140" s="65"/>
      <c r="X140" s="66"/>
      <c r="Y140" s="65"/>
      <c r="Z140" s="66"/>
      <c r="AA140" s="65"/>
      <c r="AB140" s="66"/>
      <c r="AC140" s="65"/>
      <c r="AD140" s="66"/>
      <c r="AE140" s="65"/>
      <c r="AF140" s="66"/>
      <c r="AG140" s="65"/>
      <c r="AH140" s="66"/>
      <c r="AI140" s="65"/>
      <c r="AJ140" s="66"/>
      <c r="AK140" s="65"/>
      <c r="AL140" s="66"/>
      <c r="AM140" s="65"/>
      <c r="AN140" s="66"/>
      <c r="AO140" s="65"/>
      <c r="AP140" s="66"/>
      <c r="AQ140" s="65"/>
      <c r="AR140" s="66"/>
      <c r="AS140" s="65"/>
      <c r="AT140" s="66"/>
      <c r="AU140" s="65"/>
      <c r="AV140" s="66"/>
      <c r="AW140" s="65"/>
      <c r="AX140" s="66"/>
      <c r="AY140" s="65"/>
      <c r="AZ140" s="66"/>
      <c r="BA140" s="65"/>
      <c r="BB140" s="66"/>
      <c r="BC140" s="65"/>
      <c r="BD140" s="66"/>
      <c r="BE140" s="65"/>
      <c r="BF140" s="66"/>
      <c r="BG140" s="65"/>
      <c r="BH140" s="66"/>
      <c r="BI140" s="65"/>
      <c r="BJ140" s="66"/>
      <c r="BK140" s="65"/>
      <c r="BL140" s="66"/>
      <c r="BM140" s="65"/>
      <c r="BN140" s="66"/>
      <c r="BO140" s="65"/>
      <c r="BP140" s="66"/>
    </row>
    <row r="141" spans="1:68" s="63" customFormat="1" ht="25.25" customHeight="1">
      <c r="A141" s="697"/>
      <c r="B141" s="82" t="s">
        <v>490</v>
      </c>
      <c r="C141" s="272" t="s">
        <v>27</v>
      </c>
      <c r="D141" s="58">
        <v>900</v>
      </c>
      <c r="E141" s="182">
        <v>750</v>
      </c>
      <c r="F141" s="138">
        <f t="shared" si="2"/>
        <v>0</v>
      </c>
      <c r="G141" s="168"/>
      <c r="H141" s="451"/>
      <c r="I141" s="66"/>
      <c r="J141" s="65"/>
      <c r="K141" s="65"/>
      <c r="L141" s="66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</row>
    <row r="142" spans="1:68" s="63" customFormat="1" ht="25.25" customHeight="1">
      <c r="A142" s="697"/>
      <c r="B142" s="82" t="s">
        <v>491</v>
      </c>
      <c r="C142" s="272" t="s">
        <v>27</v>
      </c>
      <c r="D142" s="58">
        <v>900</v>
      </c>
      <c r="E142" s="182">
        <v>750</v>
      </c>
      <c r="F142" s="138">
        <f t="shared" si="2"/>
        <v>0</v>
      </c>
      <c r="G142" s="168"/>
      <c r="H142" s="451"/>
      <c r="I142" s="66"/>
      <c r="J142" s="65"/>
      <c r="K142" s="65"/>
      <c r="L142" s="66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</row>
    <row r="143" spans="1:68" s="63" customFormat="1" ht="25.25" customHeight="1">
      <c r="A143" s="697"/>
      <c r="B143" s="107" t="s">
        <v>254</v>
      </c>
      <c r="C143" s="272" t="s">
        <v>27</v>
      </c>
      <c r="D143" s="109">
        <v>350</v>
      </c>
      <c r="E143" s="182">
        <v>310</v>
      </c>
      <c r="F143" s="139">
        <f t="shared" si="2"/>
        <v>0</v>
      </c>
      <c r="G143" s="168"/>
      <c r="H143" s="451"/>
      <c r="I143" s="66"/>
      <c r="J143" s="65"/>
      <c r="K143" s="65"/>
      <c r="L143" s="66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</row>
    <row r="144" spans="1:68" s="63" customFormat="1" ht="25.25" customHeight="1">
      <c r="A144" s="697"/>
      <c r="B144" s="107" t="s">
        <v>255</v>
      </c>
      <c r="C144" s="272" t="s">
        <v>27</v>
      </c>
      <c r="D144" s="109">
        <v>350</v>
      </c>
      <c r="E144" s="182">
        <v>310</v>
      </c>
      <c r="F144" s="139">
        <f t="shared" si="2"/>
        <v>0</v>
      </c>
      <c r="G144" s="168"/>
      <c r="H144" s="451"/>
      <c r="I144" s="66"/>
      <c r="J144" s="65"/>
      <c r="K144" s="65"/>
      <c r="L144" s="66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</row>
    <row r="145" spans="1:68" s="63" customFormat="1" ht="25.25" customHeight="1">
      <c r="A145" s="697"/>
      <c r="B145" s="107" t="s">
        <v>289</v>
      </c>
      <c r="C145" s="272" t="s">
        <v>27</v>
      </c>
      <c r="D145" s="109">
        <v>350</v>
      </c>
      <c r="E145" s="182">
        <v>310</v>
      </c>
      <c r="F145" s="139">
        <f t="shared" si="2"/>
        <v>0</v>
      </c>
      <c r="G145" s="168"/>
      <c r="H145" s="451"/>
      <c r="I145" s="66"/>
      <c r="J145" s="65"/>
      <c r="K145" s="65"/>
      <c r="L145" s="66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</row>
    <row r="146" spans="1:68" s="63" customFormat="1" ht="25.25" customHeight="1">
      <c r="A146" s="697"/>
      <c r="B146" s="107" t="s">
        <v>290</v>
      </c>
      <c r="C146" s="272" t="s">
        <v>27</v>
      </c>
      <c r="D146" s="109">
        <v>350</v>
      </c>
      <c r="E146" s="182">
        <v>310</v>
      </c>
      <c r="F146" s="139">
        <f t="shared" si="2"/>
        <v>0</v>
      </c>
      <c r="G146" s="168"/>
      <c r="H146" s="451"/>
      <c r="I146" s="66"/>
      <c r="J146" s="65"/>
      <c r="K146" s="65"/>
      <c r="L146" s="66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</row>
    <row r="147" spans="1:68" s="63" customFormat="1" ht="25.25" customHeight="1">
      <c r="A147" s="697"/>
      <c r="B147" s="107" t="s">
        <v>689</v>
      </c>
      <c r="C147" s="272" t="s">
        <v>27</v>
      </c>
      <c r="D147" s="109">
        <v>350</v>
      </c>
      <c r="E147" s="182">
        <v>310</v>
      </c>
      <c r="F147" s="139">
        <f t="shared" si="2"/>
        <v>0</v>
      </c>
      <c r="G147" s="168"/>
      <c r="H147" s="451"/>
      <c r="I147" s="66"/>
      <c r="J147" s="65"/>
      <c r="K147" s="65"/>
      <c r="L147" s="66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</row>
    <row r="148" spans="1:68" s="63" customFormat="1" ht="25.25" customHeight="1">
      <c r="A148" s="697"/>
      <c r="B148" s="107" t="s">
        <v>690</v>
      </c>
      <c r="C148" s="272" t="s">
        <v>27</v>
      </c>
      <c r="D148" s="109">
        <v>350</v>
      </c>
      <c r="E148" s="182">
        <v>310</v>
      </c>
      <c r="F148" s="139">
        <f t="shared" si="2"/>
        <v>0</v>
      </c>
      <c r="G148" s="168"/>
      <c r="H148" s="451"/>
      <c r="I148" s="66"/>
      <c r="J148" s="65"/>
      <c r="K148" s="65"/>
      <c r="L148" s="66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</row>
    <row r="149" spans="1:68" s="63" customFormat="1" ht="25.25" customHeight="1">
      <c r="A149" s="697"/>
      <c r="B149" s="82" t="s">
        <v>492</v>
      </c>
      <c r="C149" s="272" t="s">
        <v>24</v>
      </c>
      <c r="D149" s="109">
        <v>550</v>
      </c>
      <c r="E149" s="182">
        <v>450</v>
      </c>
      <c r="F149" s="138">
        <f t="shared" si="2"/>
        <v>0</v>
      </c>
      <c r="G149" s="168"/>
      <c r="H149" s="451"/>
      <c r="I149" s="66"/>
      <c r="J149" s="65"/>
      <c r="K149" s="65"/>
      <c r="L149" s="66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</row>
    <row r="150" spans="1:68" s="63" customFormat="1" ht="25.25" customHeight="1">
      <c r="A150" s="697"/>
      <c r="B150" s="82" t="s">
        <v>637</v>
      </c>
      <c r="C150" s="272" t="s">
        <v>25</v>
      </c>
      <c r="D150" s="58">
        <v>900</v>
      </c>
      <c r="E150" s="182">
        <v>650</v>
      </c>
      <c r="F150" s="138">
        <f t="shared" si="2"/>
        <v>0</v>
      </c>
      <c r="G150" s="195"/>
      <c r="H150" s="451"/>
      <c r="I150" s="66"/>
      <c r="J150" s="65"/>
      <c r="K150" s="65"/>
      <c r="L150" s="66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</row>
    <row r="151" spans="1:68" s="63" customFormat="1" ht="25.25" customHeight="1">
      <c r="A151" s="697"/>
      <c r="B151" s="82" t="s">
        <v>638</v>
      </c>
      <c r="C151" s="272" t="s">
        <v>25</v>
      </c>
      <c r="D151" s="58">
        <v>900</v>
      </c>
      <c r="E151" s="182">
        <v>650</v>
      </c>
      <c r="F151" s="138">
        <f t="shared" si="2"/>
        <v>0</v>
      </c>
      <c r="G151" s="195"/>
      <c r="H151" s="451"/>
      <c r="I151" s="66"/>
      <c r="J151" s="65"/>
      <c r="K151" s="65"/>
      <c r="L151" s="66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</row>
    <row r="152" spans="1:68" s="63" customFormat="1" ht="25.25" customHeight="1">
      <c r="A152" s="697"/>
      <c r="B152" s="83" t="s">
        <v>629</v>
      </c>
      <c r="C152" s="284" t="s">
        <v>26</v>
      </c>
      <c r="D152" s="134">
        <v>1200</v>
      </c>
      <c r="E152" s="55">
        <v>980</v>
      </c>
      <c r="F152" s="140">
        <f t="shared" si="2"/>
        <v>0</v>
      </c>
      <c r="G152" s="177"/>
      <c r="H152" s="451"/>
      <c r="I152" s="66"/>
      <c r="J152" s="65"/>
      <c r="K152" s="65"/>
      <c r="L152" s="66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</row>
    <row r="153" spans="1:68" s="63" customFormat="1" ht="25.25" customHeight="1">
      <c r="A153" s="697"/>
      <c r="B153" s="83" t="s">
        <v>639</v>
      </c>
      <c r="C153" s="284" t="s">
        <v>26</v>
      </c>
      <c r="D153" s="134">
        <v>1200</v>
      </c>
      <c r="E153" s="55">
        <v>980</v>
      </c>
      <c r="F153" s="140">
        <f t="shared" si="2"/>
        <v>0</v>
      </c>
      <c r="G153" s="168"/>
      <c r="H153" s="451"/>
      <c r="I153" s="66"/>
      <c r="J153" s="65"/>
      <c r="K153" s="65"/>
      <c r="L153" s="66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</row>
    <row r="154" spans="1:68" s="63" customFormat="1" ht="25.25" customHeight="1">
      <c r="A154" s="697"/>
      <c r="B154" s="83" t="s">
        <v>641</v>
      </c>
      <c r="C154" s="284" t="s">
        <v>26</v>
      </c>
      <c r="D154" s="134">
        <v>1200</v>
      </c>
      <c r="E154" s="55">
        <v>980</v>
      </c>
      <c r="F154" s="140">
        <f t="shared" si="2"/>
        <v>0</v>
      </c>
      <c r="G154" s="168"/>
      <c r="H154" s="451"/>
      <c r="I154" s="66"/>
      <c r="J154" s="65"/>
      <c r="K154" s="65"/>
      <c r="L154" s="66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</row>
    <row r="155" spans="1:68" s="63" customFormat="1" ht="25.25" customHeight="1">
      <c r="A155" s="697"/>
      <c r="B155" s="111" t="s">
        <v>535</v>
      </c>
      <c r="C155" s="271" t="s">
        <v>411</v>
      </c>
      <c r="D155" s="109">
        <v>1000</v>
      </c>
      <c r="E155" s="182">
        <v>800</v>
      </c>
      <c r="F155" s="138">
        <f t="shared" si="2"/>
        <v>0</v>
      </c>
      <c r="G155" s="168"/>
      <c r="H155" s="451"/>
      <c r="I155" s="66"/>
      <c r="J155" s="65"/>
      <c r="K155" s="65"/>
      <c r="L155" s="66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</row>
    <row r="156" spans="1:68" s="63" customFormat="1" ht="29.4" customHeight="1">
      <c r="A156" s="697"/>
      <c r="B156" s="574" t="s">
        <v>561</v>
      </c>
      <c r="C156" s="575" t="s">
        <v>410</v>
      </c>
      <c r="D156" s="576">
        <v>1100</v>
      </c>
      <c r="E156" s="119">
        <v>850</v>
      </c>
      <c r="F156" s="342">
        <f t="shared" si="2"/>
        <v>0</v>
      </c>
      <c r="G156" s="577" t="s">
        <v>839</v>
      </c>
      <c r="H156" s="451"/>
      <c r="I156" s="66"/>
      <c r="J156" s="65"/>
      <c r="K156" s="65"/>
      <c r="L156" s="66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</row>
    <row r="157" spans="1:68" s="63" customFormat="1" ht="25.25" customHeight="1">
      <c r="A157" s="697"/>
      <c r="B157" s="135" t="s">
        <v>493</v>
      </c>
      <c r="C157" s="271" t="s">
        <v>410</v>
      </c>
      <c r="D157" s="109">
        <v>1450</v>
      </c>
      <c r="E157" s="182">
        <v>1300</v>
      </c>
      <c r="F157" s="138">
        <f t="shared" si="2"/>
        <v>0</v>
      </c>
      <c r="G157" s="577" t="s">
        <v>840</v>
      </c>
      <c r="H157" s="451"/>
      <c r="I157" s="66"/>
      <c r="J157" s="65"/>
      <c r="K157" s="65"/>
      <c r="L157" s="66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</row>
    <row r="158" spans="1:68" s="63" customFormat="1" ht="24" customHeight="1">
      <c r="A158" s="697"/>
      <c r="B158" s="136" t="s">
        <v>494</v>
      </c>
      <c r="C158" s="272" t="s">
        <v>24</v>
      </c>
      <c r="D158" s="58">
        <v>1000</v>
      </c>
      <c r="E158" s="182">
        <v>800</v>
      </c>
      <c r="F158" s="138">
        <f t="shared" si="2"/>
        <v>0</v>
      </c>
      <c r="G158" s="195"/>
      <c r="H158" s="451"/>
      <c r="I158" s="66"/>
      <c r="J158" s="65"/>
      <c r="K158" s="65"/>
      <c r="L158" s="66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</row>
    <row r="159" spans="1:68" s="63" customFormat="1" ht="25.25" customHeight="1">
      <c r="A159" s="697"/>
      <c r="B159" s="136" t="s">
        <v>495</v>
      </c>
      <c r="C159" s="518" t="s">
        <v>410</v>
      </c>
      <c r="D159" s="58">
        <v>1780</v>
      </c>
      <c r="E159" s="182">
        <v>1480</v>
      </c>
      <c r="F159" s="138">
        <f t="shared" si="2"/>
        <v>0</v>
      </c>
      <c r="G159" s="168"/>
      <c r="H159" s="451"/>
      <c r="I159" s="66"/>
      <c r="J159" s="65"/>
      <c r="K159" s="65"/>
      <c r="L159" s="66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</row>
    <row r="160" spans="1:68" s="63" customFormat="1" ht="25.25" customHeight="1">
      <c r="A160" s="697"/>
      <c r="B160" s="82" t="s">
        <v>631</v>
      </c>
      <c r="C160" s="272" t="s">
        <v>25</v>
      </c>
      <c r="D160" s="184">
        <v>1400</v>
      </c>
      <c r="E160" s="55">
        <v>1180</v>
      </c>
      <c r="F160" s="140">
        <f t="shared" si="2"/>
        <v>0</v>
      </c>
      <c r="G160" s="170"/>
      <c r="H160" s="451"/>
      <c r="I160" s="66"/>
      <c r="J160" s="65"/>
      <c r="K160" s="65"/>
      <c r="L160" s="66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</row>
    <row r="161" spans="1:68" s="63" customFormat="1" ht="25.25" customHeight="1">
      <c r="A161" s="697"/>
      <c r="B161" s="82" t="s">
        <v>632</v>
      </c>
      <c r="C161" s="270" t="s">
        <v>25</v>
      </c>
      <c r="D161" s="184">
        <v>1400</v>
      </c>
      <c r="E161" s="55">
        <v>1180</v>
      </c>
      <c r="F161" s="140">
        <f t="shared" si="2"/>
        <v>0</v>
      </c>
      <c r="G161" s="170"/>
      <c r="H161" s="451"/>
      <c r="I161" s="66"/>
      <c r="J161" s="65"/>
      <c r="K161" s="65"/>
      <c r="L161" s="66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</row>
    <row r="162" spans="1:68" s="63" customFormat="1" ht="25.25" customHeight="1">
      <c r="A162" s="697"/>
      <c r="B162" s="82" t="s">
        <v>630</v>
      </c>
      <c r="C162" s="284" t="s">
        <v>26</v>
      </c>
      <c r="D162" s="184">
        <v>1900</v>
      </c>
      <c r="E162" s="55">
        <v>1580</v>
      </c>
      <c r="F162" s="140">
        <f t="shared" si="2"/>
        <v>0</v>
      </c>
      <c r="G162" s="170"/>
      <c r="H162" s="451"/>
      <c r="I162" s="66"/>
      <c r="J162" s="65"/>
      <c r="K162" s="65"/>
      <c r="L162" s="66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</row>
    <row r="163" spans="1:68" s="63" customFormat="1" ht="25.25" customHeight="1">
      <c r="A163" s="697"/>
      <c r="B163" s="82" t="s">
        <v>640</v>
      </c>
      <c r="C163" s="284" t="s">
        <v>26</v>
      </c>
      <c r="D163" s="184">
        <v>1900</v>
      </c>
      <c r="E163" s="55">
        <v>1580</v>
      </c>
      <c r="F163" s="140">
        <f t="shared" si="2"/>
        <v>0</v>
      </c>
      <c r="G163" s="170"/>
      <c r="H163" s="451"/>
      <c r="I163" s="66"/>
      <c r="J163" s="65"/>
      <c r="K163" s="65"/>
      <c r="L163" s="66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</row>
    <row r="164" spans="1:68" s="63" customFormat="1" ht="25.25" customHeight="1">
      <c r="A164" s="697"/>
      <c r="B164" s="82" t="s">
        <v>642</v>
      </c>
      <c r="C164" s="284" t="s">
        <v>26</v>
      </c>
      <c r="D164" s="184">
        <v>1900</v>
      </c>
      <c r="E164" s="55">
        <v>1580</v>
      </c>
      <c r="F164" s="140">
        <f t="shared" si="2"/>
        <v>0</v>
      </c>
      <c r="G164" s="170"/>
      <c r="H164" s="451"/>
      <c r="I164" s="66"/>
      <c r="J164" s="65"/>
      <c r="K164" s="65"/>
      <c r="L164" s="66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</row>
    <row r="165" spans="1:68" s="63" customFormat="1" ht="25.25" customHeight="1" thickBot="1">
      <c r="A165" s="698"/>
      <c r="B165" s="79"/>
      <c r="C165" s="282"/>
      <c r="D165" s="100"/>
      <c r="E165" s="54"/>
      <c r="F165" s="141">
        <f t="shared" si="2"/>
        <v>0</v>
      </c>
      <c r="G165" s="169"/>
      <c r="H165" s="451"/>
      <c r="I165" s="66"/>
      <c r="J165" s="65"/>
      <c r="K165" s="65"/>
      <c r="L165" s="66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</row>
    <row r="166" spans="1:68" ht="25.25" customHeight="1">
      <c r="A166" s="647" t="s">
        <v>359</v>
      </c>
      <c r="B166" s="81" t="s">
        <v>361</v>
      </c>
      <c r="C166" s="279" t="s">
        <v>362</v>
      </c>
      <c r="D166" s="102">
        <v>520</v>
      </c>
      <c r="E166" s="56">
        <v>480</v>
      </c>
      <c r="F166" s="137">
        <f t="shared" si="2"/>
        <v>0</v>
      </c>
      <c r="G166" s="167" t="s">
        <v>606</v>
      </c>
      <c r="H166" s="448"/>
      <c r="I166" s="64"/>
      <c r="J166" s="58"/>
      <c r="K166" s="58"/>
      <c r="L166" s="64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</row>
    <row r="167" spans="1:68" ht="37.25" customHeight="1">
      <c r="A167" s="648"/>
      <c r="B167" s="89" t="s">
        <v>363</v>
      </c>
      <c r="C167" s="280" t="s">
        <v>165</v>
      </c>
      <c r="D167" s="99">
        <v>800</v>
      </c>
      <c r="E167" s="90">
        <v>700</v>
      </c>
      <c r="F167" s="179">
        <f t="shared" si="2"/>
        <v>0</v>
      </c>
      <c r="G167" s="208" t="s">
        <v>399</v>
      </c>
      <c r="H167" s="448"/>
      <c r="I167" s="64"/>
      <c r="J167" s="58"/>
      <c r="K167" s="58"/>
      <c r="L167" s="64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</row>
    <row r="168" spans="1:68" ht="25.25" customHeight="1">
      <c r="A168" s="648"/>
      <c r="B168" s="82" t="s">
        <v>417</v>
      </c>
      <c r="C168" s="281" t="s">
        <v>165</v>
      </c>
      <c r="D168" s="58">
        <v>900</v>
      </c>
      <c r="E168" s="182">
        <v>800</v>
      </c>
      <c r="F168" s="138">
        <f t="shared" si="2"/>
        <v>0</v>
      </c>
      <c r="G168" s="205" t="s">
        <v>398</v>
      </c>
      <c r="H168" s="448"/>
      <c r="I168" s="64"/>
      <c r="J168" s="58"/>
      <c r="K168" s="58"/>
      <c r="L168" s="64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</row>
    <row r="169" spans="1:68" ht="25.25" customHeight="1">
      <c r="A169" s="648"/>
      <c r="B169" s="82" t="s">
        <v>418</v>
      </c>
      <c r="C169" s="281" t="s">
        <v>165</v>
      </c>
      <c r="D169" s="58">
        <v>900</v>
      </c>
      <c r="E169" s="182">
        <v>800</v>
      </c>
      <c r="F169" s="138">
        <f t="shared" si="2"/>
        <v>0</v>
      </c>
      <c r="G169" s="205" t="s">
        <v>397</v>
      </c>
      <c r="H169" s="448"/>
      <c r="I169" s="64"/>
      <c r="J169" s="58"/>
      <c r="K169" s="58"/>
      <c r="L169" s="64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</row>
    <row r="170" spans="1:68" ht="25.25" customHeight="1">
      <c r="A170" s="648"/>
      <c r="B170" s="82" t="s">
        <v>364</v>
      </c>
      <c r="C170" s="281" t="s">
        <v>204</v>
      </c>
      <c r="D170" s="58">
        <v>250</v>
      </c>
      <c r="E170" s="182">
        <v>218</v>
      </c>
      <c r="F170" s="138">
        <f t="shared" si="2"/>
        <v>0</v>
      </c>
      <c r="G170" s="168"/>
      <c r="H170" s="448"/>
      <c r="I170" s="64"/>
      <c r="J170" s="58"/>
      <c r="K170" s="58"/>
      <c r="L170" s="64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</row>
    <row r="171" spans="1:68" ht="25.25" customHeight="1">
      <c r="A171" s="648"/>
      <c r="B171" s="82" t="s">
        <v>365</v>
      </c>
      <c r="C171" s="281" t="s">
        <v>204</v>
      </c>
      <c r="D171" s="58">
        <v>250</v>
      </c>
      <c r="E171" s="182">
        <v>218</v>
      </c>
      <c r="F171" s="138">
        <f t="shared" si="2"/>
        <v>0</v>
      </c>
      <c r="G171" s="168"/>
      <c r="H171" s="448"/>
      <c r="I171" s="64"/>
      <c r="J171" s="58"/>
      <c r="K171" s="58"/>
      <c r="L171" s="64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</row>
    <row r="172" spans="1:68" ht="25.25" customHeight="1">
      <c r="A172" s="648"/>
      <c r="B172" s="82" t="s">
        <v>416</v>
      </c>
      <c r="C172" s="281" t="s">
        <v>204</v>
      </c>
      <c r="D172" s="58">
        <v>250</v>
      </c>
      <c r="E172" s="182">
        <v>218</v>
      </c>
      <c r="F172" s="138">
        <f t="shared" si="2"/>
        <v>0</v>
      </c>
      <c r="G172" s="168"/>
      <c r="H172" s="448"/>
      <c r="I172" s="64"/>
      <c r="J172" s="58"/>
      <c r="K172" s="58"/>
      <c r="L172" s="64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</row>
    <row r="173" spans="1:68" ht="25.25" customHeight="1">
      <c r="A173" s="648"/>
      <c r="B173" s="82" t="s">
        <v>366</v>
      </c>
      <c r="C173" s="281" t="s">
        <v>204</v>
      </c>
      <c r="D173" s="58">
        <v>230</v>
      </c>
      <c r="E173" s="182">
        <v>198</v>
      </c>
      <c r="F173" s="138">
        <f t="shared" si="2"/>
        <v>0</v>
      </c>
      <c r="G173" s="168"/>
      <c r="H173" s="448"/>
      <c r="I173" s="64"/>
      <c r="J173" s="58"/>
      <c r="K173" s="58"/>
      <c r="L173" s="64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</row>
    <row r="174" spans="1:68" ht="25.25" customHeight="1">
      <c r="A174" s="648"/>
      <c r="B174" s="82" t="s">
        <v>367</v>
      </c>
      <c r="C174" s="281" t="s">
        <v>204</v>
      </c>
      <c r="D174" s="58">
        <v>230</v>
      </c>
      <c r="E174" s="182">
        <v>198</v>
      </c>
      <c r="F174" s="138">
        <f t="shared" si="2"/>
        <v>0</v>
      </c>
      <c r="G174" s="168"/>
      <c r="H174" s="448"/>
      <c r="I174" s="64"/>
      <c r="J174" s="58"/>
      <c r="K174" s="58"/>
      <c r="L174" s="64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</row>
    <row r="175" spans="1:68" ht="25.25" customHeight="1">
      <c r="A175" s="648"/>
      <c r="B175" s="82" t="s">
        <v>368</v>
      </c>
      <c r="C175" s="281" t="s">
        <v>204</v>
      </c>
      <c r="D175" s="58">
        <v>230</v>
      </c>
      <c r="E175" s="182">
        <v>198</v>
      </c>
      <c r="F175" s="138">
        <f t="shared" si="2"/>
        <v>0</v>
      </c>
      <c r="G175" s="168"/>
      <c r="H175" s="448"/>
      <c r="I175" s="64"/>
      <c r="J175" s="58"/>
      <c r="K175" s="58"/>
      <c r="L175" s="64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</row>
    <row r="176" spans="1:68" ht="29.4" customHeight="1" thickBot="1">
      <c r="A176" s="649"/>
      <c r="B176" s="79"/>
      <c r="C176" s="282"/>
      <c r="D176" s="100"/>
      <c r="E176" s="54"/>
      <c r="F176" s="128">
        <f t="shared" si="2"/>
        <v>0</v>
      </c>
      <c r="G176" s="497"/>
      <c r="H176" s="448"/>
      <c r="I176" s="64"/>
      <c r="J176" s="58"/>
      <c r="K176" s="58"/>
      <c r="L176" s="64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</row>
    <row r="177" spans="1:68" ht="25.25" customHeight="1">
      <c r="A177" s="664" t="s">
        <v>692</v>
      </c>
      <c r="B177" s="129" t="s">
        <v>693</v>
      </c>
      <c r="C177" s="539" t="s">
        <v>814</v>
      </c>
      <c r="D177" s="130">
        <v>350</v>
      </c>
      <c r="E177" s="183">
        <v>250</v>
      </c>
      <c r="F177" s="138">
        <f t="shared" si="2"/>
        <v>0</v>
      </c>
      <c r="G177" s="531" t="s">
        <v>712</v>
      </c>
      <c r="H177" s="448"/>
      <c r="I177" s="64"/>
      <c r="J177" s="58"/>
      <c r="K177" s="58"/>
      <c r="L177" s="64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</row>
    <row r="178" spans="1:68" ht="25.25" customHeight="1">
      <c r="A178" s="664"/>
      <c r="B178" s="129" t="s">
        <v>694</v>
      </c>
      <c r="C178" s="539" t="s">
        <v>814</v>
      </c>
      <c r="D178" s="130">
        <v>450</v>
      </c>
      <c r="E178" s="183">
        <v>380</v>
      </c>
      <c r="F178" s="138">
        <f t="shared" si="2"/>
        <v>0</v>
      </c>
      <c r="G178" s="459" t="s">
        <v>720</v>
      </c>
      <c r="H178" s="448"/>
      <c r="I178" s="64"/>
      <c r="J178" s="58"/>
      <c r="K178" s="58"/>
      <c r="L178" s="64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</row>
    <row r="179" spans="1:68" ht="25.25" customHeight="1">
      <c r="A179" s="664"/>
      <c r="B179" s="105" t="s">
        <v>698</v>
      </c>
      <c r="C179" s="539" t="s">
        <v>171</v>
      </c>
      <c r="D179" s="58">
        <v>299</v>
      </c>
      <c r="E179" s="182">
        <v>200</v>
      </c>
      <c r="F179" s="138">
        <f t="shared" si="2"/>
        <v>0</v>
      </c>
      <c r="G179" s="459" t="s">
        <v>702</v>
      </c>
      <c r="H179" s="448"/>
      <c r="I179" s="64"/>
      <c r="J179" s="58"/>
      <c r="K179" s="58"/>
      <c r="L179" s="64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</row>
    <row r="180" spans="1:68" ht="25.25" customHeight="1">
      <c r="A180" s="664"/>
      <c r="B180" s="105" t="s">
        <v>699</v>
      </c>
      <c r="C180" s="539" t="s">
        <v>171</v>
      </c>
      <c r="D180" s="58">
        <v>299</v>
      </c>
      <c r="E180" s="182">
        <v>200</v>
      </c>
      <c r="F180" s="138">
        <f t="shared" si="2"/>
        <v>0</v>
      </c>
      <c r="G180" s="459" t="s">
        <v>702</v>
      </c>
      <c r="H180" s="448"/>
      <c r="I180" s="64"/>
      <c r="J180" s="58"/>
      <c r="K180" s="58"/>
      <c r="L180" s="64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</row>
    <row r="181" spans="1:68" ht="25.25" customHeight="1">
      <c r="A181" s="664"/>
      <c r="B181" s="105" t="s">
        <v>700</v>
      </c>
      <c r="C181" s="539" t="s">
        <v>171</v>
      </c>
      <c r="D181" s="58">
        <v>299</v>
      </c>
      <c r="E181" s="182">
        <v>200</v>
      </c>
      <c r="F181" s="138">
        <f t="shared" si="2"/>
        <v>0</v>
      </c>
      <c r="G181" s="459" t="s">
        <v>702</v>
      </c>
      <c r="H181" s="448"/>
      <c r="I181" s="64"/>
      <c r="J181" s="58"/>
      <c r="K181" s="58"/>
      <c r="L181" s="64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</row>
    <row r="182" spans="1:68" ht="25.25" customHeight="1">
      <c r="A182" s="664"/>
      <c r="B182" s="105" t="s">
        <v>701</v>
      </c>
      <c r="C182" s="539" t="s">
        <v>171</v>
      </c>
      <c r="D182" s="58">
        <v>299</v>
      </c>
      <c r="E182" s="182">
        <v>200</v>
      </c>
      <c r="F182" s="138">
        <f t="shared" si="2"/>
        <v>0</v>
      </c>
      <c r="G182" s="459" t="s">
        <v>702</v>
      </c>
      <c r="H182" s="448"/>
      <c r="I182" s="64"/>
      <c r="J182" s="58"/>
      <c r="K182" s="58"/>
      <c r="L182" s="64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</row>
    <row r="183" spans="1:68" ht="25.25" customHeight="1">
      <c r="A183" s="664"/>
      <c r="B183" s="129" t="s">
        <v>695</v>
      </c>
      <c r="C183" s="539" t="s">
        <v>171</v>
      </c>
      <c r="D183" s="181">
        <v>299</v>
      </c>
      <c r="E183" s="183">
        <v>200</v>
      </c>
      <c r="F183" s="138">
        <f t="shared" si="2"/>
        <v>0</v>
      </c>
      <c r="G183" s="459" t="s">
        <v>702</v>
      </c>
      <c r="H183" s="448"/>
      <c r="I183" s="64"/>
      <c r="J183" s="58"/>
      <c r="K183" s="58"/>
      <c r="L183" s="64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</row>
    <row r="184" spans="1:68" ht="25.25" customHeight="1">
      <c r="A184" s="664"/>
      <c r="B184" s="105" t="s">
        <v>696</v>
      </c>
      <c r="C184" s="539" t="s">
        <v>171</v>
      </c>
      <c r="D184" s="58">
        <v>299</v>
      </c>
      <c r="E184" s="182">
        <v>200</v>
      </c>
      <c r="F184" s="138">
        <f t="shared" si="2"/>
        <v>0</v>
      </c>
      <c r="G184" s="459" t="s">
        <v>702</v>
      </c>
      <c r="H184" s="448"/>
      <c r="I184" s="64"/>
      <c r="J184" s="58"/>
      <c r="K184" s="58"/>
      <c r="L184" s="64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</row>
    <row r="185" spans="1:68" ht="25.25" customHeight="1">
      <c r="A185" s="664"/>
      <c r="B185" s="105" t="s">
        <v>721</v>
      </c>
      <c r="C185" s="539" t="s">
        <v>171</v>
      </c>
      <c r="D185" s="58">
        <v>299</v>
      </c>
      <c r="E185" s="182">
        <v>200</v>
      </c>
      <c r="F185" s="138">
        <f t="shared" si="2"/>
        <v>0</v>
      </c>
      <c r="G185" s="459" t="s">
        <v>702</v>
      </c>
      <c r="H185" s="448"/>
      <c r="I185" s="64"/>
      <c r="J185" s="58"/>
      <c r="K185" s="58"/>
      <c r="L185" s="64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</row>
    <row r="186" spans="1:68" ht="25.25" customHeight="1">
      <c r="A186" s="664"/>
      <c r="B186" s="105" t="s">
        <v>697</v>
      </c>
      <c r="C186" s="539" t="s">
        <v>171</v>
      </c>
      <c r="D186" s="58">
        <v>299</v>
      </c>
      <c r="E186" s="182">
        <v>200</v>
      </c>
      <c r="F186" s="138">
        <f t="shared" si="2"/>
        <v>0</v>
      </c>
      <c r="G186" s="459" t="s">
        <v>702</v>
      </c>
      <c r="H186" s="448"/>
      <c r="I186" s="64"/>
      <c r="J186" s="58"/>
      <c r="K186" s="58"/>
      <c r="L186" s="64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</row>
    <row r="187" spans="1:68" ht="25.25" customHeight="1">
      <c r="A187" s="664"/>
      <c r="B187" s="105" t="s">
        <v>703</v>
      </c>
      <c r="C187" s="539" t="s">
        <v>171</v>
      </c>
      <c r="D187" s="58">
        <v>150</v>
      </c>
      <c r="E187" s="182">
        <v>100</v>
      </c>
      <c r="F187" s="138">
        <f t="shared" si="2"/>
        <v>0</v>
      </c>
      <c r="G187" s="459" t="s">
        <v>704</v>
      </c>
      <c r="H187" s="448"/>
      <c r="I187" s="64"/>
      <c r="J187" s="58"/>
      <c r="K187" s="58"/>
      <c r="L187" s="64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</row>
    <row r="188" spans="1:68" ht="25.25" customHeight="1">
      <c r="A188" s="664"/>
      <c r="B188" s="105" t="s">
        <v>705</v>
      </c>
      <c r="C188" s="539" t="s">
        <v>171</v>
      </c>
      <c r="D188" s="58">
        <v>150</v>
      </c>
      <c r="E188" s="182">
        <v>100</v>
      </c>
      <c r="F188" s="138">
        <f t="shared" si="2"/>
        <v>0</v>
      </c>
      <c r="G188" s="459" t="s">
        <v>704</v>
      </c>
      <c r="H188" s="448"/>
      <c r="I188" s="64"/>
      <c r="J188" s="58"/>
      <c r="K188" s="58"/>
      <c r="L188" s="64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</row>
    <row r="189" spans="1:68" ht="25.25" customHeight="1">
      <c r="A189" s="664"/>
      <c r="B189" s="105" t="s">
        <v>706</v>
      </c>
      <c r="C189" s="539" t="s">
        <v>171</v>
      </c>
      <c r="D189" s="58">
        <v>150</v>
      </c>
      <c r="E189" s="182">
        <v>100</v>
      </c>
      <c r="F189" s="138">
        <f t="shared" si="2"/>
        <v>0</v>
      </c>
      <c r="G189" s="459" t="s">
        <v>704</v>
      </c>
      <c r="H189" s="448"/>
      <c r="I189" s="64"/>
      <c r="J189" s="58"/>
      <c r="K189" s="58"/>
      <c r="L189" s="64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</row>
    <row r="190" spans="1:68" ht="25.25" customHeight="1">
      <c r="A190" s="664"/>
      <c r="B190" s="105" t="s">
        <v>707</v>
      </c>
      <c r="C190" s="539" t="s">
        <v>171</v>
      </c>
      <c r="D190" s="58">
        <v>150</v>
      </c>
      <c r="E190" s="182">
        <v>100</v>
      </c>
      <c r="F190" s="138">
        <f t="shared" si="2"/>
        <v>0</v>
      </c>
      <c r="G190" s="459" t="s">
        <v>704</v>
      </c>
      <c r="H190" s="448"/>
      <c r="I190" s="64"/>
      <c r="J190" s="58"/>
      <c r="K190" s="58"/>
      <c r="L190" s="64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</row>
    <row r="191" spans="1:68" ht="25.25" customHeight="1">
      <c r="A191" s="664"/>
      <c r="B191" s="105" t="s">
        <v>708</v>
      </c>
      <c r="C191" s="539" t="s">
        <v>171</v>
      </c>
      <c r="D191" s="58">
        <v>150</v>
      </c>
      <c r="E191" s="182">
        <v>100</v>
      </c>
      <c r="F191" s="138">
        <f t="shared" si="2"/>
        <v>0</v>
      </c>
      <c r="G191" s="459" t="s">
        <v>704</v>
      </c>
      <c r="H191" s="448"/>
      <c r="I191" s="64"/>
      <c r="J191" s="58"/>
      <c r="K191" s="58"/>
      <c r="L191" s="64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</row>
    <row r="192" spans="1:68" ht="25.25" customHeight="1">
      <c r="A192" s="664"/>
      <c r="B192" s="105" t="s">
        <v>709</v>
      </c>
      <c r="C192" s="539" t="s">
        <v>171</v>
      </c>
      <c r="D192" s="58">
        <v>150</v>
      </c>
      <c r="E192" s="182">
        <v>100</v>
      </c>
      <c r="F192" s="138">
        <f t="shared" si="2"/>
        <v>0</v>
      </c>
      <c r="G192" s="459" t="s">
        <v>704</v>
      </c>
      <c r="H192" s="448"/>
      <c r="I192" s="64"/>
      <c r="J192" s="58"/>
      <c r="K192" s="58"/>
      <c r="L192" s="64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</row>
    <row r="193" spans="1:68" ht="25.25" customHeight="1">
      <c r="A193" s="664"/>
      <c r="B193" s="105" t="s">
        <v>710</v>
      </c>
      <c r="C193" s="539" t="s">
        <v>171</v>
      </c>
      <c r="D193" s="58">
        <v>150</v>
      </c>
      <c r="E193" s="182">
        <v>100</v>
      </c>
      <c r="F193" s="138">
        <f t="shared" si="2"/>
        <v>0</v>
      </c>
      <c r="G193" s="459" t="s">
        <v>704</v>
      </c>
      <c r="H193" s="448"/>
      <c r="I193" s="64"/>
      <c r="J193" s="58"/>
      <c r="K193" s="58"/>
      <c r="L193" s="64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</row>
    <row r="194" spans="1:68" ht="25.25" customHeight="1">
      <c r="A194" s="664"/>
      <c r="B194" s="105" t="s">
        <v>711</v>
      </c>
      <c r="C194" s="539" t="s">
        <v>171</v>
      </c>
      <c r="D194" s="58">
        <v>150</v>
      </c>
      <c r="E194" s="182">
        <v>100</v>
      </c>
      <c r="F194" s="138">
        <f t="shared" si="2"/>
        <v>0</v>
      </c>
      <c r="G194" s="459" t="s">
        <v>704</v>
      </c>
      <c r="H194" s="448"/>
      <c r="I194" s="64"/>
      <c r="J194" s="58"/>
      <c r="K194" s="58"/>
      <c r="L194" s="64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</row>
    <row r="195" spans="1:68" ht="25.25" customHeight="1" thickBot="1">
      <c r="A195" s="665"/>
      <c r="B195" s="106"/>
      <c r="C195" s="282"/>
      <c r="D195" s="100"/>
      <c r="E195" s="54"/>
      <c r="F195" s="141">
        <f t="shared" si="2"/>
        <v>0</v>
      </c>
      <c r="G195" s="349"/>
      <c r="H195" s="448"/>
      <c r="I195" s="64"/>
      <c r="J195" s="58"/>
      <c r="K195" s="58"/>
      <c r="L195" s="64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</row>
    <row r="196" spans="1:68" ht="25.25" customHeight="1">
      <c r="A196" s="654" t="s">
        <v>719</v>
      </c>
      <c r="B196" s="129" t="s">
        <v>713</v>
      </c>
      <c r="C196" s="539" t="s">
        <v>171</v>
      </c>
      <c r="D196" s="130">
        <v>310</v>
      </c>
      <c r="E196" s="183">
        <v>265</v>
      </c>
      <c r="F196" s="138">
        <f t="shared" si="2"/>
        <v>0</v>
      </c>
      <c r="G196" s="459" t="s">
        <v>812</v>
      </c>
      <c r="H196" s="448"/>
      <c r="I196" s="64"/>
      <c r="J196" s="58"/>
      <c r="K196" s="58"/>
      <c r="L196" s="64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</row>
    <row r="197" spans="1:68" ht="25.25" customHeight="1">
      <c r="A197" s="654"/>
      <c r="B197" s="129" t="s">
        <v>714</v>
      </c>
      <c r="C197" s="539" t="s">
        <v>171</v>
      </c>
      <c r="D197" s="130">
        <v>310</v>
      </c>
      <c r="E197" s="183">
        <v>265</v>
      </c>
      <c r="F197" s="138">
        <f t="shared" ref="F197:F260" si="3">SUM(I197:BP197)</f>
        <v>0</v>
      </c>
      <c r="G197" s="459" t="s">
        <v>812</v>
      </c>
      <c r="H197" s="448"/>
      <c r="I197" s="64"/>
      <c r="J197" s="58"/>
      <c r="K197" s="58"/>
      <c r="L197" s="64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</row>
    <row r="198" spans="1:68" ht="25.25" customHeight="1">
      <c r="A198" s="654"/>
      <c r="B198" s="540" t="s">
        <v>715</v>
      </c>
      <c r="C198" s="541" t="s">
        <v>171</v>
      </c>
      <c r="D198" s="99">
        <v>225</v>
      </c>
      <c r="E198" s="90">
        <v>175</v>
      </c>
      <c r="F198" s="179">
        <f t="shared" si="3"/>
        <v>0</v>
      </c>
      <c r="G198" s="542" t="s">
        <v>813</v>
      </c>
      <c r="H198" s="448"/>
      <c r="I198" s="64"/>
      <c r="J198" s="58"/>
      <c r="K198" s="58"/>
      <c r="L198" s="64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</row>
    <row r="199" spans="1:68" ht="25.25" customHeight="1">
      <c r="A199" s="654"/>
      <c r="B199" s="540" t="s">
        <v>716</v>
      </c>
      <c r="C199" s="541" t="s">
        <v>171</v>
      </c>
      <c r="D199" s="99">
        <v>225</v>
      </c>
      <c r="E199" s="90">
        <v>175</v>
      </c>
      <c r="F199" s="179">
        <f t="shared" si="3"/>
        <v>0</v>
      </c>
      <c r="G199" s="542" t="s">
        <v>813</v>
      </c>
      <c r="H199" s="448"/>
      <c r="I199" s="64"/>
      <c r="J199" s="58"/>
      <c r="K199" s="58"/>
      <c r="L199" s="64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</row>
    <row r="200" spans="1:68" ht="25.25" customHeight="1">
      <c r="A200" s="654"/>
      <c r="B200" s="540" t="s">
        <v>718</v>
      </c>
      <c r="C200" s="541" t="s">
        <v>171</v>
      </c>
      <c r="D200" s="99">
        <v>225</v>
      </c>
      <c r="E200" s="90">
        <v>175</v>
      </c>
      <c r="F200" s="179">
        <f t="shared" si="3"/>
        <v>0</v>
      </c>
      <c r="G200" s="542" t="s">
        <v>813</v>
      </c>
      <c r="H200" s="448"/>
      <c r="I200" s="64"/>
      <c r="J200" s="58"/>
      <c r="K200" s="58"/>
      <c r="L200" s="64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</row>
    <row r="201" spans="1:68" ht="25.25" customHeight="1">
      <c r="A201" s="654"/>
      <c r="B201" s="540" t="s">
        <v>717</v>
      </c>
      <c r="C201" s="541" t="s">
        <v>171</v>
      </c>
      <c r="D201" s="99">
        <v>225</v>
      </c>
      <c r="E201" s="90">
        <v>175</v>
      </c>
      <c r="F201" s="179">
        <f t="shared" si="3"/>
        <v>0</v>
      </c>
      <c r="G201" s="542" t="s">
        <v>813</v>
      </c>
      <c r="H201" s="448"/>
      <c r="I201" s="64"/>
      <c r="J201" s="58"/>
      <c r="K201" s="58"/>
      <c r="L201" s="64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</row>
    <row r="202" spans="1:68" ht="25.25" customHeight="1">
      <c r="A202" s="654"/>
      <c r="B202" s="105"/>
      <c r="C202" s="262"/>
      <c r="D202" s="58"/>
      <c r="E202" s="182"/>
      <c r="F202" s="138">
        <f t="shared" si="3"/>
        <v>0</v>
      </c>
      <c r="G202" s="459"/>
      <c r="H202" s="448"/>
      <c r="I202" s="64"/>
      <c r="J202" s="58"/>
      <c r="K202" s="58"/>
      <c r="L202" s="64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</row>
    <row r="203" spans="1:68" ht="25.25" customHeight="1" thickBot="1">
      <c r="A203" s="655"/>
      <c r="B203" s="106"/>
      <c r="C203" s="282"/>
      <c r="D203" s="100"/>
      <c r="E203" s="54"/>
      <c r="F203" s="141">
        <f t="shared" si="3"/>
        <v>0</v>
      </c>
      <c r="G203" s="349"/>
      <c r="H203" s="448"/>
      <c r="I203" s="64"/>
      <c r="J203" s="58"/>
      <c r="K203" s="58"/>
      <c r="L203" s="64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</row>
    <row r="204" spans="1:68" ht="25.25" customHeight="1">
      <c r="A204" s="656" t="s">
        <v>724</v>
      </c>
      <c r="B204" s="129" t="s">
        <v>725</v>
      </c>
      <c r="C204" s="539" t="s">
        <v>171</v>
      </c>
      <c r="D204" s="130">
        <v>450</v>
      </c>
      <c r="E204" s="183">
        <v>265</v>
      </c>
      <c r="F204" s="138">
        <f t="shared" si="3"/>
        <v>0</v>
      </c>
      <c r="G204" s="459" t="s">
        <v>812</v>
      </c>
      <c r="H204" s="448"/>
      <c r="I204" s="64"/>
      <c r="J204" s="58"/>
      <c r="K204" s="58"/>
      <c r="L204" s="64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</row>
    <row r="205" spans="1:68" ht="25.25" customHeight="1">
      <c r="A205" s="657"/>
      <c r="B205" s="129" t="s">
        <v>726</v>
      </c>
      <c r="C205" s="539" t="s">
        <v>171</v>
      </c>
      <c r="D205" s="130">
        <v>450</v>
      </c>
      <c r="E205" s="183">
        <v>265</v>
      </c>
      <c r="F205" s="138">
        <f t="shared" si="3"/>
        <v>0</v>
      </c>
      <c r="G205" s="459" t="s">
        <v>812</v>
      </c>
      <c r="H205" s="448"/>
      <c r="I205" s="64"/>
      <c r="J205" s="58"/>
      <c r="K205" s="58"/>
      <c r="L205" s="64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</row>
    <row r="206" spans="1:68" ht="25.25" customHeight="1">
      <c r="A206" s="657"/>
      <c r="B206" s="129" t="s">
        <v>727</v>
      </c>
      <c r="C206" s="539" t="s">
        <v>171</v>
      </c>
      <c r="D206" s="130">
        <v>450</v>
      </c>
      <c r="E206" s="183">
        <v>265</v>
      </c>
      <c r="F206" s="138">
        <f t="shared" si="3"/>
        <v>0</v>
      </c>
      <c r="G206" s="459" t="s">
        <v>812</v>
      </c>
      <c r="H206" s="448"/>
      <c r="I206" s="64"/>
      <c r="J206" s="58"/>
      <c r="K206" s="58"/>
      <c r="L206" s="64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</row>
    <row r="207" spans="1:68" ht="25.25" customHeight="1">
      <c r="A207" s="657"/>
      <c r="B207" s="129" t="s">
        <v>728</v>
      </c>
      <c r="C207" s="539" t="s">
        <v>171</v>
      </c>
      <c r="D207" s="130">
        <v>450</v>
      </c>
      <c r="E207" s="183">
        <v>265</v>
      </c>
      <c r="F207" s="138">
        <f t="shared" si="3"/>
        <v>0</v>
      </c>
      <c r="G207" s="459" t="s">
        <v>812</v>
      </c>
      <c r="H207" s="448"/>
      <c r="I207" s="64"/>
      <c r="J207" s="58"/>
      <c r="K207" s="58"/>
      <c r="L207" s="64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</row>
    <row r="208" spans="1:68" ht="25.25" customHeight="1">
      <c r="A208" s="657"/>
      <c r="B208" s="129" t="s">
        <v>729</v>
      </c>
      <c r="C208" s="539" t="s">
        <v>722</v>
      </c>
      <c r="D208" s="130">
        <v>450</v>
      </c>
      <c r="E208" s="183">
        <v>265</v>
      </c>
      <c r="F208" s="138">
        <f t="shared" si="3"/>
        <v>0</v>
      </c>
      <c r="G208" s="459" t="s">
        <v>812</v>
      </c>
      <c r="H208" s="448"/>
      <c r="I208" s="64"/>
      <c r="J208" s="58"/>
      <c r="K208" s="58"/>
      <c r="L208" s="64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</row>
    <row r="209" spans="1:68" ht="25.25" customHeight="1">
      <c r="A209" s="657"/>
      <c r="B209" s="129" t="s">
        <v>730</v>
      </c>
      <c r="C209" s="539" t="s">
        <v>722</v>
      </c>
      <c r="D209" s="130">
        <v>450</v>
      </c>
      <c r="E209" s="183">
        <v>265</v>
      </c>
      <c r="F209" s="138">
        <f t="shared" si="3"/>
        <v>0</v>
      </c>
      <c r="G209" s="459" t="s">
        <v>812</v>
      </c>
      <c r="H209" s="448"/>
      <c r="I209" s="64"/>
      <c r="J209" s="58"/>
      <c r="K209" s="58"/>
      <c r="L209" s="64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</row>
    <row r="210" spans="1:68" ht="25.25" customHeight="1">
      <c r="A210" s="657"/>
      <c r="B210" s="129" t="s">
        <v>731</v>
      </c>
      <c r="C210" s="539" t="s">
        <v>722</v>
      </c>
      <c r="D210" s="130">
        <v>450</v>
      </c>
      <c r="E210" s="183">
        <v>265</v>
      </c>
      <c r="F210" s="138">
        <f t="shared" si="3"/>
        <v>0</v>
      </c>
      <c r="G210" s="459" t="s">
        <v>812</v>
      </c>
      <c r="H210" s="448"/>
      <c r="I210" s="64"/>
      <c r="J210" s="58"/>
      <c r="K210" s="58"/>
      <c r="L210" s="64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</row>
    <row r="211" spans="1:68" ht="25.25" customHeight="1">
      <c r="A211" s="657"/>
      <c r="B211" s="129" t="s">
        <v>732</v>
      </c>
      <c r="C211" s="539" t="s">
        <v>722</v>
      </c>
      <c r="D211" s="130">
        <v>450</v>
      </c>
      <c r="E211" s="183">
        <v>265</v>
      </c>
      <c r="F211" s="138">
        <f t="shared" si="3"/>
        <v>0</v>
      </c>
      <c r="G211" s="459" t="s">
        <v>812</v>
      </c>
      <c r="H211" s="448"/>
      <c r="I211" s="64"/>
      <c r="J211" s="58"/>
      <c r="K211" s="58"/>
      <c r="L211" s="64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</row>
    <row r="212" spans="1:68" ht="25.25" customHeight="1">
      <c r="A212" s="657"/>
      <c r="B212" s="540" t="s">
        <v>733</v>
      </c>
      <c r="C212" s="541" t="s">
        <v>171</v>
      </c>
      <c r="D212" s="99">
        <v>225</v>
      </c>
      <c r="E212" s="113">
        <v>225</v>
      </c>
      <c r="F212" s="179">
        <f t="shared" si="3"/>
        <v>0</v>
      </c>
      <c r="G212" s="542" t="s">
        <v>813</v>
      </c>
      <c r="H212" s="448"/>
      <c r="I212" s="64"/>
      <c r="J212" s="58"/>
      <c r="K212" s="58"/>
      <c r="L212" s="64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</row>
    <row r="213" spans="1:68" ht="25.25" customHeight="1">
      <c r="A213" s="657"/>
      <c r="B213" s="540" t="s">
        <v>734</v>
      </c>
      <c r="C213" s="541" t="s">
        <v>171</v>
      </c>
      <c r="D213" s="99">
        <v>225</v>
      </c>
      <c r="E213" s="113">
        <v>225</v>
      </c>
      <c r="F213" s="179">
        <f t="shared" si="3"/>
        <v>0</v>
      </c>
      <c r="G213" s="542" t="s">
        <v>813</v>
      </c>
      <c r="H213" s="448"/>
      <c r="I213" s="64"/>
      <c r="J213" s="58"/>
      <c r="K213" s="58"/>
      <c r="L213" s="64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</row>
    <row r="214" spans="1:68" ht="25.25" customHeight="1">
      <c r="A214" s="657"/>
      <c r="B214" s="540" t="s">
        <v>735</v>
      </c>
      <c r="C214" s="541" t="s">
        <v>171</v>
      </c>
      <c r="D214" s="99">
        <v>225</v>
      </c>
      <c r="E214" s="113">
        <v>225</v>
      </c>
      <c r="F214" s="179">
        <f t="shared" si="3"/>
        <v>0</v>
      </c>
      <c r="G214" s="542" t="s">
        <v>813</v>
      </c>
      <c r="H214" s="448"/>
      <c r="I214" s="64"/>
      <c r="J214" s="58"/>
      <c r="K214" s="58"/>
      <c r="L214" s="64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</row>
    <row r="215" spans="1:68" ht="25.25" customHeight="1">
      <c r="A215" s="657"/>
      <c r="B215" s="540" t="s">
        <v>736</v>
      </c>
      <c r="C215" s="541" t="s">
        <v>722</v>
      </c>
      <c r="D215" s="99">
        <v>225</v>
      </c>
      <c r="E215" s="113">
        <v>225</v>
      </c>
      <c r="F215" s="179">
        <f t="shared" si="3"/>
        <v>0</v>
      </c>
      <c r="G215" s="542" t="s">
        <v>813</v>
      </c>
      <c r="H215" s="448"/>
      <c r="I215" s="64"/>
      <c r="J215" s="58"/>
      <c r="K215" s="58"/>
      <c r="L215" s="64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</row>
    <row r="216" spans="1:68" ht="25.25" customHeight="1">
      <c r="A216" s="657"/>
      <c r="B216" s="540" t="s">
        <v>737</v>
      </c>
      <c r="C216" s="541" t="s">
        <v>722</v>
      </c>
      <c r="D216" s="99">
        <v>225</v>
      </c>
      <c r="E216" s="113">
        <v>225</v>
      </c>
      <c r="F216" s="179">
        <f t="shared" si="3"/>
        <v>0</v>
      </c>
      <c r="G216" s="542" t="s">
        <v>813</v>
      </c>
      <c r="H216" s="448"/>
      <c r="I216" s="64"/>
      <c r="J216" s="58"/>
      <c r="K216" s="58"/>
      <c r="L216" s="64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</row>
    <row r="217" spans="1:68" ht="25.25" customHeight="1">
      <c r="A217" s="657"/>
      <c r="B217" s="129" t="s">
        <v>738</v>
      </c>
      <c r="C217" s="539" t="s">
        <v>722</v>
      </c>
      <c r="D217" s="58">
        <v>225</v>
      </c>
      <c r="E217" s="183">
        <v>165</v>
      </c>
      <c r="F217" s="138">
        <f t="shared" si="3"/>
        <v>0</v>
      </c>
      <c r="G217" s="459" t="s">
        <v>723</v>
      </c>
      <c r="H217" s="448"/>
      <c r="I217" s="64"/>
      <c r="J217" s="58"/>
      <c r="K217" s="58"/>
      <c r="L217" s="64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</row>
    <row r="218" spans="1:68" ht="25.25" customHeight="1">
      <c r="A218" s="657"/>
      <c r="B218" s="129" t="s">
        <v>739</v>
      </c>
      <c r="C218" s="539" t="s">
        <v>722</v>
      </c>
      <c r="D218" s="58">
        <v>225</v>
      </c>
      <c r="E218" s="183">
        <v>165</v>
      </c>
      <c r="F218" s="138">
        <f t="shared" si="3"/>
        <v>0</v>
      </c>
      <c r="G218" s="459" t="s">
        <v>723</v>
      </c>
      <c r="H218" s="448"/>
      <c r="I218" s="64"/>
      <c r="J218" s="58"/>
      <c r="K218" s="58"/>
      <c r="L218" s="64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</row>
    <row r="219" spans="1:68" ht="25.25" customHeight="1" thickBot="1">
      <c r="A219" s="658"/>
      <c r="B219" s="105"/>
      <c r="C219" s="262"/>
      <c r="D219" s="58"/>
      <c r="E219" s="182"/>
      <c r="F219" s="138">
        <f t="shared" si="3"/>
        <v>0</v>
      </c>
      <c r="G219" s="459"/>
      <c r="H219" s="448"/>
      <c r="I219" s="64"/>
      <c r="J219" s="58"/>
      <c r="K219" s="58"/>
      <c r="L219" s="64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</row>
    <row r="220" spans="1:68" ht="36" customHeight="1">
      <c r="A220" s="659" t="s">
        <v>556</v>
      </c>
      <c r="B220" s="472" t="s">
        <v>246</v>
      </c>
      <c r="C220" s="473" t="s">
        <v>4</v>
      </c>
      <c r="D220" s="474">
        <v>500</v>
      </c>
      <c r="E220" s="475">
        <v>380</v>
      </c>
      <c r="F220" s="476">
        <f t="shared" si="3"/>
        <v>0</v>
      </c>
      <c r="G220" s="477" t="s">
        <v>605</v>
      </c>
      <c r="H220" s="448"/>
      <c r="I220" s="64"/>
      <c r="J220" s="58"/>
      <c r="K220" s="58"/>
      <c r="L220" s="64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</row>
    <row r="221" spans="1:68" ht="30.65" customHeight="1">
      <c r="A221" s="659"/>
      <c r="B221" s="322" t="s">
        <v>248</v>
      </c>
      <c r="C221" s="323" t="s">
        <v>4</v>
      </c>
      <c r="D221" s="324">
        <v>700</v>
      </c>
      <c r="E221" s="90">
        <v>550</v>
      </c>
      <c r="F221" s="179">
        <f t="shared" si="3"/>
        <v>0</v>
      </c>
      <c r="G221" s="445" t="s">
        <v>827</v>
      </c>
      <c r="H221" s="448"/>
      <c r="I221" s="64"/>
      <c r="J221" s="58"/>
      <c r="K221" s="58"/>
      <c r="L221" s="64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</row>
    <row r="222" spans="1:68" ht="27.65" customHeight="1">
      <c r="A222" s="659"/>
      <c r="B222" s="412" t="s">
        <v>223</v>
      </c>
      <c r="C222" s="363" t="s">
        <v>34</v>
      </c>
      <c r="D222" s="339">
        <v>1200</v>
      </c>
      <c r="E222" s="340">
        <v>850</v>
      </c>
      <c r="F222" s="369">
        <f t="shared" si="3"/>
        <v>0</v>
      </c>
      <c r="G222" s="413" t="s">
        <v>543</v>
      </c>
      <c r="H222" s="448"/>
      <c r="I222" s="64"/>
      <c r="J222" s="58"/>
      <c r="K222" s="58"/>
      <c r="L222" s="64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</row>
    <row r="223" spans="1:68" ht="27" customHeight="1">
      <c r="A223" s="659"/>
      <c r="B223" s="513" t="s">
        <v>211</v>
      </c>
      <c r="C223" s="323" t="s">
        <v>5</v>
      </c>
      <c r="D223" s="324">
        <v>580</v>
      </c>
      <c r="E223" s="90">
        <v>390</v>
      </c>
      <c r="F223" s="179">
        <f t="shared" si="3"/>
        <v>0</v>
      </c>
      <c r="G223" s="390"/>
      <c r="H223" s="448"/>
      <c r="I223" s="64"/>
      <c r="J223" s="58"/>
      <c r="K223" s="58"/>
      <c r="L223" s="64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</row>
    <row r="224" spans="1:68" ht="25.25" customHeight="1">
      <c r="A224" s="659"/>
      <c r="B224" s="129" t="s">
        <v>212</v>
      </c>
      <c r="C224" s="522" t="s">
        <v>172</v>
      </c>
      <c r="D224" s="130">
        <v>280</v>
      </c>
      <c r="E224" s="183">
        <v>198</v>
      </c>
      <c r="F224" s="138">
        <f t="shared" si="3"/>
        <v>0</v>
      </c>
      <c r="G224" s="371"/>
      <c r="H224" s="448"/>
      <c r="I224" s="64"/>
      <c r="J224" s="58"/>
      <c r="K224" s="58"/>
      <c r="L224" s="64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</row>
    <row r="225" spans="1:68" ht="25.25" customHeight="1">
      <c r="A225" s="659"/>
      <c r="B225" s="129" t="s">
        <v>213</v>
      </c>
      <c r="C225" s="522" t="s">
        <v>171</v>
      </c>
      <c r="D225" s="130">
        <v>280</v>
      </c>
      <c r="E225" s="183">
        <v>198</v>
      </c>
      <c r="F225" s="138">
        <f t="shared" si="3"/>
        <v>0</v>
      </c>
      <c r="G225" s="371"/>
      <c r="H225" s="448"/>
      <c r="I225" s="64"/>
      <c r="J225" s="58"/>
      <c r="K225" s="58"/>
      <c r="L225" s="64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</row>
    <row r="226" spans="1:68" ht="25.25" customHeight="1">
      <c r="A226" s="659"/>
      <c r="B226" s="105" t="s">
        <v>167</v>
      </c>
      <c r="C226" s="262" t="s">
        <v>171</v>
      </c>
      <c r="D226" s="181">
        <v>280</v>
      </c>
      <c r="E226" s="183">
        <v>198</v>
      </c>
      <c r="F226" s="138">
        <f t="shared" si="3"/>
        <v>0</v>
      </c>
      <c r="G226" s="378"/>
      <c r="H226" s="448"/>
      <c r="I226" s="64"/>
      <c r="J226" s="58"/>
      <c r="K226" s="58"/>
      <c r="L226" s="64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</row>
    <row r="227" spans="1:68" ht="25.25" customHeight="1">
      <c r="A227" s="659"/>
      <c r="B227" s="105" t="s">
        <v>168</v>
      </c>
      <c r="C227" s="262" t="s">
        <v>171</v>
      </c>
      <c r="D227" s="58">
        <v>280</v>
      </c>
      <c r="E227" s="182">
        <v>198</v>
      </c>
      <c r="F227" s="138">
        <f t="shared" si="3"/>
        <v>0</v>
      </c>
      <c r="G227" s="378"/>
      <c r="H227" s="448"/>
      <c r="I227" s="64"/>
      <c r="J227" s="58"/>
      <c r="K227" s="58"/>
      <c r="L227" s="64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</row>
    <row r="228" spans="1:68" ht="25.25" customHeight="1">
      <c r="A228" s="659"/>
      <c r="B228" s="105" t="s">
        <v>169</v>
      </c>
      <c r="C228" s="262" t="s">
        <v>171</v>
      </c>
      <c r="D228" s="58">
        <v>280</v>
      </c>
      <c r="E228" s="182">
        <v>198</v>
      </c>
      <c r="F228" s="138">
        <f t="shared" si="3"/>
        <v>0</v>
      </c>
      <c r="G228" s="378"/>
      <c r="H228" s="448"/>
      <c r="I228" s="64"/>
      <c r="J228" s="58"/>
      <c r="K228" s="58"/>
      <c r="L228" s="64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</row>
    <row r="229" spans="1:68" ht="25.25" customHeight="1">
      <c r="A229" s="659"/>
      <c r="B229" s="105" t="s">
        <v>283</v>
      </c>
      <c r="C229" s="262" t="s">
        <v>171</v>
      </c>
      <c r="D229" s="58">
        <v>320</v>
      </c>
      <c r="E229" s="182">
        <v>230</v>
      </c>
      <c r="F229" s="138">
        <f t="shared" si="3"/>
        <v>0</v>
      </c>
      <c r="G229" s="371"/>
      <c r="H229" s="448"/>
      <c r="I229" s="64"/>
      <c r="J229" s="58"/>
      <c r="K229" s="58"/>
      <c r="L229" s="64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</row>
    <row r="230" spans="1:68" ht="25.25" customHeight="1">
      <c r="A230" s="659"/>
      <c r="B230" s="105" t="s">
        <v>284</v>
      </c>
      <c r="C230" s="262" t="s">
        <v>171</v>
      </c>
      <c r="D230" s="58">
        <v>320</v>
      </c>
      <c r="E230" s="182">
        <v>230</v>
      </c>
      <c r="F230" s="138">
        <f t="shared" si="3"/>
        <v>0</v>
      </c>
      <c r="G230" s="371"/>
      <c r="H230" s="448"/>
      <c r="I230" s="64"/>
      <c r="J230" s="58"/>
      <c r="K230" s="58"/>
      <c r="L230" s="64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</row>
    <row r="231" spans="1:68" ht="25.25" customHeight="1">
      <c r="A231" s="659"/>
      <c r="B231" s="105" t="s">
        <v>285</v>
      </c>
      <c r="C231" s="262" t="s">
        <v>171</v>
      </c>
      <c r="D231" s="58">
        <v>320</v>
      </c>
      <c r="E231" s="182">
        <v>230</v>
      </c>
      <c r="F231" s="138">
        <f t="shared" si="3"/>
        <v>0</v>
      </c>
      <c r="G231" s="371"/>
      <c r="H231" s="448"/>
      <c r="I231" s="64"/>
      <c r="J231" s="58"/>
      <c r="K231" s="58"/>
      <c r="L231" s="64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</row>
    <row r="232" spans="1:68" ht="25.25" customHeight="1">
      <c r="A232" s="659"/>
      <c r="B232" s="105" t="s">
        <v>286</v>
      </c>
      <c r="C232" s="262" t="s">
        <v>171</v>
      </c>
      <c r="D232" s="58">
        <v>320</v>
      </c>
      <c r="E232" s="182">
        <v>230</v>
      </c>
      <c r="F232" s="138">
        <f t="shared" si="3"/>
        <v>0</v>
      </c>
      <c r="G232" s="371"/>
      <c r="H232" s="448"/>
      <c r="I232" s="64"/>
      <c r="J232" s="58"/>
      <c r="K232" s="58"/>
      <c r="L232" s="64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</row>
    <row r="233" spans="1:68" ht="25.25" customHeight="1">
      <c r="A233" s="659"/>
      <c r="B233" s="105" t="s">
        <v>287</v>
      </c>
      <c r="C233" s="262" t="s">
        <v>171</v>
      </c>
      <c r="D233" s="58">
        <v>320</v>
      </c>
      <c r="E233" s="182">
        <v>230</v>
      </c>
      <c r="F233" s="138">
        <f t="shared" si="3"/>
        <v>0</v>
      </c>
      <c r="G233" s="371"/>
      <c r="H233" s="448"/>
      <c r="I233" s="64"/>
      <c r="J233" s="58"/>
      <c r="K233" s="58"/>
      <c r="L233" s="64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</row>
    <row r="234" spans="1:68" ht="25.25" customHeight="1">
      <c r="A234" s="659"/>
      <c r="B234" s="105" t="s">
        <v>591</v>
      </c>
      <c r="C234" s="272" t="s">
        <v>173</v>
      </c>
      <c r="D234" s="58">
        <v>1350</v>
      </c>
      <c r="E234" s="182">
        <v>1000</v>
      </c>
      <c r="F234" s="138">
        <f t="shared" si="3"/>
        <v>0</v>
      </c>
      <c r="G234" s="445" t="s">
        <v>652</v>
      </c>
      <c r="H234" s="448"/>
      <c r="I234" s="64"/>
      <c r="J234" s="58"/>
      <c r="K234" s="58"/>
      <c r="L234" s="64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</row>
    <row r="235" spans="1:68" ht="25.25" customHeight="1">
      <c r="A235" s="659"/>
      <c r="B235" s="105" t="s">
        <v>592</v>
      </c>
      <c r="C235" s="272" t="s">
        <v>173</v>
      </c>
      <c r="D235" s="58">
        <v>1350</v>
      </c>
      <c r="E235" s="182">
        <v>1000</v>
      </c>
      <c r="F235" s="138">
        <f t="shared" si="3"/>
        <v>0</v>
      </c>
      <c r="G235" s="445" t="s">
        <v>652</v>
      </c>
      <c r="H235" s="448"/>
      <c r="I235" s="64"/>
      <c r="J235" s="58"/>
      <c r="K235" s="58"/>
      <c r="L235" s="64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</row>
    <row r="236" spans="1:68" ht="25.25" customHeight="1">
      <c r="A236" s="659"/>
      <c r="B236" s="105" t="s">
        <v>593</v>
      </c>
      <c r="C236" s="272" t="s">
        <v>173</v>
      </c>
      <c r="D236" s="58">
        <v>1350</v>
      </c>
      <c r="E236" s="182">
        <v>1000</v>
      </c>
      <c r="F236" s="138">
        <f t="shared" si="3"/>
        <v>0</v>
      </c>
      <c r="G236" s="445" t="s">
        <v>652</v>
      </c>
      <c r="H236" s="448"/>
      <c r="I236" s="64"/>
      <c r="J236" s="58"/>
      <c r="K236" s="58"/>
      <c r="L236" s="64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</row>
    <row r="237" spans="1:68" ht="25.25" customHeight="1">
      <c r="A237" s="659"/>
      <c r="B237" s="105" t="s">
        <v>594</v>
      </c>
      <c r="C237" s="272" t="s">
        <v>173</v>
      </c>
      <c r="D237" s="58">
        <v>1290</v>
      </c>
      <c r="E237" s="182">
        <v>1000</v>
      </c>
      <c r="F237" s="138">
        <f t="shared" si="3"/>
        <v>0</v>
      </c>
      <c r="G237" s="376" t="s">
        <v>550</v>
      </c>
      <c r="H237" s="448"/>
      <c r="I237" s="64"/>
      <c r="J237" s="58"/>
      <c r="K237" s="58"/>
      <c r="L237" s="64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</row>
    <row r="238" spans="1:68" ht="25.25" customHeight="1">
      <c r="A238" s="659"/>
      <c r="B238" s="105" t="s">
        <v>595</v>
      </c>
      <c r="C238" s="272" t="s">
        <v>173</v>
      </c>
      <c r="D238" s="58">
        <v>1290</v>
      </c>
      <c r="E238" s="182">
        <v>1000</v>
      </c>
      <c r="F238" s="138">
        <f t="shared" si="3"/>
        <v>0</v>
      </c>
      <c r="G238" s="376" t="s">
        <v>550</v>
      </c>
      <c r="H238" s="448"/>
      <c r="I238" s="64"/>
      <c r="J238" s="58"/>
      <c r="K238" s="58"/>
      <c r="L238" s="64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</row>
    <row r="239" spans="1:68" ht="25.25" customHeight="1">
      <c r="A239" s="659"/>
      <c r="B239" s="105" t="s">
        <v>596</v>
      </c>
      <c r="C239" s="272" t="s">
        <v>173</v>
      </c>
      <c r="D239" s="184">
        <v>1290</v>
      </c>
      <c r="E239" s="55">
        <v>1000</v>
      </c>
      <c r="F239" s="140">
        <f t="shared" si="3"/>
        <v>0</v>
      </c>
      <c r="G239" s="376" t="s">
        <v>550</v>
      </c>
      <c r="H239" s="448"/>
      <c r="I239" s="64"/>
      <c r="J239" s="58"/>
      <c r="K239" s="58"/>
      <c r="L239" s="64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</row>
    <row r="240" spans="1:68" ht="25.25" customHeight="1">
      <c r="A240" s="659"/>
      <c r="B240" s="160" t="s">
        <v>597</v>
      </c>
      <c r="C240" s="272" t="s">
        <v>173</v>
      </c>
      <c r="D240" s="184">
        <v>2100</v>
      </c>
      <c r="E240" s="55">
        <v>1800</v>
      </c>
      <c r="F240" s="140">
        <f t="shared" si="3"/>
        <v>0</v>
      </c>
      <c r="G240" s="446" t="s">
        <v>653</v>
      </c>
      <c r="H240" s="448"/>
      <c r="I240" s="64"/>
      <c r="J240" s="58"/>
      <c r="K240" s="58"/>
      <c r="L240" s="64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</row>
    <row r="241" spans="1:68" ht="25.25" customHeight="1">
      <c r="A241" s="659"/>
      <c r="B241" s="160" t="s">
        <v>598</v>
      </c>
      <c r="C241" s="272" t="s">
        <v>173</v>
      </c>
      <c r="D241" s="184">
        <v>2100</v>
      </c>
      <c r="E241" s="55">
        <v>1800</v>
      </c>
      <c r="F241" s="140">
        <f t="shared" si="3"/>
        <v>0</v>
      </c>
      <c r="G241" s="446" t="s">
        <v>654</v>
      </c>
      <c r="H241" s="448"/>
      <c r="I241" s="64"/>
      <c r="J241" s="58"/>
      <c r="K241" s="58"/>
      <c r="L241" s="64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</row>
    <row r="242" spans="1:68" ht="25.25" customHeight="1">
      <c r="A242" s="659"/>
      <c r="B242" s="160" t="s">
        <v>599</v>
      </c>
      <c r="C242" s="272" t="s">
        <v>173</v>
      </c>
      <c r="D242" s="184">
        <v>2100</v>
      </c>
      <c r="E242" s="55">
        <v>1800</v>
      </c>
      <c r="F242" s="140">
        <f t="shared" si="3"/>
        <v>0</v>
      </c>
      <c r="G242" s="446" t="s">
        <v>653</v>
      </c>
      <c r="H242" s="448"/>
      <c r="I242" s="64"/>
      <c r="J242" s="58"/>
      <c r="K242" s="58"/>
      <c r="L242" s="64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</row>
    <row r="243" spans="1:68" ht="25.25" customHeight="1">
      <c r="A243" s="659"/>
      <c r="B243" s="147" t="s">
        <v>288</v>
      </c>
      <c r="C243" s="284" t="s">
        <v>176</v>
      </c>
      <c r="D243" s="184">
        <v>970</v>
      </c>
      <c r="E243" s="55">
        <v>700</v>
      </c>
      <c r="F243" s="140">
        <f t="shared" si="3"/>
        <v>0</v>
      </c>
      <c r="G243" s="379"/>
      <c r="H243" s="448"/>
      <c r="I243" s="64"/>
      <c r="J243" s="58"/>
      <c r="K243" s="58"/>
      <c r="L243" s="64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</row>
    <row r="244" spans="1:68" ht="30" customHeight="1">
      <c r="A244" s="659"/>
      <c r="B244" s="514" t="s">
        <v>837</v>
      </c>
      <c r="C244" s="430" t="s">
        <v>432</v>
      </c>
      <c r="D244" s="101">
        <v>4320</v>
      </c>
      <c r="E244" s="87">
        <v>3400</v>
      </c>
      <c r="F244" s="207">
        <f t="shared" si="3"/>
        <v>0</v>
      </c>
      <c r="G244" s="506" t="s">
        <v>551</v>
      </c>
      <c r="H244" s="448"/>
      <c r="I244" s="64"/>
      <c r="J244" s="58"/>
      <c r="K244" s="58"/>
      <c r="L244" s="64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</row>
    <row r="245" spans="1:68" ht="29.4" customHeight="1">
      <c r="A245" s="659"/>
      <c r="B245" s="644" t="s">
        <v>655</v>
      </c>
      <c r="C245" s="645"/>
      <c r="D245" s="646">
        <v>1600</v>
      </c>
      <c r="E245" s="55">
        <v>1250</v>
      </c>
      <c r="F245" s="642">
        <f t="shared" si="3"/>
        <v>0</v>
      </c>
      <c r="G245" s="643"/>
      <c r="H245" s="448"/>
      <c r="I245" s="64"/>
      <c r="J245" s="58"/>
      <c r="K245" s="58"/>
      <c r="L245" s="64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</row>
    <row r="246" spans="1:68" ht="25.25" customHeight="1" thickBot="1">
      <c r="A246" s="660"/>
      <c r="B246" s="106"/>
      <c r="C246" s="282"/>
      <c r="D246" s="100"/>
      <c r="E246" s="54"/>
      <c r="F246" s="141">
        <f t="shared" si="3"/>
        <v>0</v>
      </c>
      <c r="G246" s="349"/>
      <c r="H246" s="448"/>
      <c r="I246" s="64"/>
      <c r="J246" s="58"/>
      <c r="K246" s="58"/>
      <c r="L246" s="64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</row>
    <row r="247" spans="1:68" ht="30" customHeight="1">
      <c r="A247" s="661" t="s">
        <v>691</v>
      </c>
      <c r="B247" s="110" t="s">
        <v>133</v>
      </c>
      <c r="C247" s="283" t="s">
        <v>4</v>
      </c>
      <c r="D247" s="181">
        <v>399</v>
      </c>
      <c r="E247" s="183">
        <v>329</v>
      </c>
      <c r="F247" s="137">
        <f t="shared" si="3"/>
        <v>0</v>
      </c>
      <c r="G247" s="215"/>
      <c r="H247" s="453"/>
      <c r="I247" s="64"/>
      <c r="J247" s="58"/>
      <c r="K247" s="58"/>
      <c r="L247" s="64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</row>
    <row r="248" spans="1:68" ht="30" customHeight="1">
      <c r="A248" s="662"/>
      <c r="B248" s="523" t="s">
        <v>657</v>
      </c>
      <c r="C248" s="270" t="s">
        <v>4</v>
      </c>
      <c r="D248" s="181">
        <v>199</v>
      </c>
      <c r="E248" s="183">
        <v>99</v>
      </c>
      <c r="F248" s="227">
        <f t="shared" si="3"/>
        <v>0</v>
      </c>
      <c r="G248" s="215" t="s">
        <v>828</v>
      </c>
      <c r="H248" s="453"/>
      <c r="I248" s="64"/>
      <c r="J248" s="58"/>
      <c r="K248" s="58"/>
      <c r="L248" s="64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</row>
    <row r="249" spans="1:68" ht="30" customHeight="1">
      <c r="A249" s="662"/>
      <c r="B249" s="368" t="s">
        <v>688</v>
      </c>
      <c r="C249" s="469" t="s">
        <v>4</v>
      </c>
      <c r="D249" s="470">
        <v>450</v>
      </c>
      <c r="E249" s="411">
        <v>420</v>
      </c>
      <c r="F249" s="465">
        <f t="shared" si="3"/>
        <v>0</v>
      </c>
      <c r="G249" s="468" t="s">
        <v>744</v>
      </c>
      <c r="H249" s="448"/>
      <c r="I249" s="64"/>
      <c r="J249" s="58"/>
      <c r="K249" s="58"/>
      <c r="L249" s="64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</row>
    <row r="250" spans="1:68" ht="28.75" customHeight="1">
      <c r="A250" s="662"/>
      <c r="B250" s="111" t="s">
        <v>530</v>
      </c>
      <c r="C250" s="272" t="s">
        <v>4</v>
      </c>
      <c r="D250" s="58">
        <v>499</v>
      </c>
      <c r="E250" s="182">
        <v>420</v>
      </c>
      <c r="F250" s="138">
        <f t="shared" si="3"/>
        <v>0</v>
      </c>
      <c r="G250" s="215"/>
      <c r="H250" s="448"/>
      <c r="I250" s="64"/>
      <c r="J250" s="58"/>
      <c r="K250" s="58"/>
      <c r="L250" s="64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</row>
    <row r="251" spans="1:68" ht="32.4" customHeight="1">
      <c r="A251" s="662"/>
      <c r="B251" s="444" t="s">
        <v>484</v>
      </c>
      <c r="C251" s="291" t="s">
        <v>4</v>
      </c>
      <c r="D251" s="99">
        <v>680</v>
      </c>
      <c r="E251" s="90">
        <v>480</v>
      </c>
      <c r="F251" s="179">
        <f t="shared" si="3"/>
        <v>0</v>
      </c>
      <c r="G251" s="295"/>
      <c r="H251" s="448"/>
      <c r="I251" s="64"/>
      <c r="J251" s="58"/>
      <c r="K251" s="58"/>
      <c r="L251" s="64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</row>
    <row r="252" spans="1:68" ht="26.4" customHeight="1">
      <c r="A252" s="662"/>
      <c r="B252" s="111" t="s">
        <v>164</v>
      </c>
      <c r="C252" s="262" t="s">
        <v>4</v>
      </c>
      <c r="D252" s="58">
        <v>150</v>
      </c>
      <c r="E252" s="182">
        <v>110</v>
      </c>
      <c r="F252" s="138">
        <f t="shared" si="3"/>
        <v>0</v>
      </c>
      <c r="G252" s="215"/>
      <c r="H252" s="448"/>
      <c r="I252" s="64"/>
      <c r="J252" s="58"/>
      <c r="K252" s="58"/>
      <c r="L252" s="64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</row>
    <row r="253" spans="1:68" ht="26.4" customHeight="1">
      <c r="A253" s="662"/>
      <c r="B253" s="111" t="s">
        <v>464</v>
      </c>
      <c r="C253" s="262" t="s">
        <v>4</v>
      </c>
      <c r="D253" s="58">
        <v>150</v>
      </c>
      <c r="E253" s="182">
        <v>110</v>
      </c>
      <c r="F253" s="138">
        <f t="shared" si="3"/>
        <v>0</v>
      </c>
      <c r="G253" s="173"/>
      <c r="H253" s="448"/>
      <c r="I253" s="64"/>
      <c r="J253" s="58"/>
      <c r="K253" s="58"/>
      <c r="L253" s="64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</row>
    <row r="254" spans="1:68" ht="23.25" customHeight="1">
      <c r="A254" s="662"/>
      <c r="B254" s="82" t="s">
        <v>790</v>
      </c>
      <c r="C254" s="262" t="s">
        <v>81</v>
      </c>
      <c r="D254" s="58">
        <v>220</v>
      </c>
      <c r="E254" s="182">
        <v>175</v>
      </c>
      <c r="F254" s="138">
        <f t="shared" si="3"/>
        <v>0</v>
      </c>
      <c r="G254" s="170"/>
      <c r="H254" s="448"/>
      <c r="I254" s="64"/>
      <c r="J254" s="58"/>
      <c r="K254" s="58"/>
      <c r="L254" s="64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</row>
    <row r="255" spans="1:68" ht="25.25" customHeight="1">
      <c r="A255" s="662"/>
      <c r="B255" s="82" t="s">
        <v>791</v>
      </c>
      <c r="C255" s="262" t="s">
        <v>81</v>
      </c>
      <c r="D255" s="58">
        <v>220</v>
      </c>
      <c r="E255" s="182">
        <v>175</v>
      </c>
      <c r="F255" s="138">
        <f t="shared" si="3"/>
        <v>0</v>
      </c>
      <c r="G255" s="168"/>
      <c r="H255" s="448"/>
      <c r="I255" s="64"/>
      <c r="J255" s="58"/>
      <c r="K255" s="58"/>
      <c r="L255" s="64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</row>
    <row r="256" spans="1:68" ht="25.25" customHeight="1">
      <c r="A256" s="662"/>
      <c r="B256" s="82" t="s">
        <v>379</v>
      </c>
      <c r="C256" s="262" t="s">
        <v>81</v>
      </c>
      <c r="D256" s="58">
        <v>220</v>
      </c>
      <c r="E256" s="182">
        <v>175</v>
      </c>
      <c r="F256" s="138">
        <f t="shared" si="3"/>
        <v>0</v>
      </c>
      <c r="G256" s="168"/>
      <c r="H256" s="448"/>
      <c r="I256" s="64"/>
      <c r="J256" s="58"/>
      <c r="K256" s="58"/>
      <c r="L256" s="64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</row>
    <row r="257" spans="1:68" ht="25.25" customHeight="1">
      <c r="A257" s="662"/>
      <c r="B257" s="82" t="s">
        <v>792</v>
      </c>
      <c r="C257" s="262" t="s">
        <v>81</v>
      </c>
      <c r="D257" s="58">
        <v>220</v>
      </c>
      <c r="E257" s="182">
        <v>175</v>
      </c>
      <c r="F257" s="138">
        <f t="shared" si="3"/>
        <v>0</v>
      </c>
      <c r="G257" s="168"/>
      <c r="H257" s="448"/>
      <c r="I257" s="64"/>
      <c r="J257" s="58"/>
      <c r="K257" s="58"/>
      <c r="L257" s="64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</row>
    <row r="258" spans="1:68" ht="25.25" customHeight="1">
      <c r="A258" s="662"/>
      <c r="B258" s="82" t="s">
        <v>793</v>
      </c>
      <c r="C258" s="262" t="s">
        <v>81</v>
      </c>
      <c r="D258" s="58">
        <v>220</v>
      </c>
      <c r="E258" s="182">
        <v>175</v>
      </c>
      <c r="F258" s="140">
        <f t="shared" si="3"/>
        <v>0</v>
      </c>
      <c r="G258" s="168"/>
      <c r="H258" s="448"/>
      <c r="I258" s="64"/>
      <c r="J258" s="58"/>
      <c r="K258" s="58"/>
      <c r="L258" s="64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</row>
    <row r="259" spans="1:68" ht="25.25" customHeight="1">
      <c r="A259" s="662"/>
      <c r="B259" s="82" t="s">
        <v>794</v>
      </c>
      <c r="C259" s="262" t="s">
        <v>81</v>
      </c>
      <c r="D259" s="58">
        <v>220</v>
      </c>
      <c r="E259" s="182">
        <v>175</v>
      </c>
      <c r="F259" s="140">
        <f t="shared" si="3"/>
        <v>0</v>
      </c>
      <c r="G259" s="168"/>
      <c r="H259" s="448"/>
      <c r="I259" s="64"/>
      <c r="J259" s="58"/>
      <c r="K259" s="58"/>
      <c r="L259" s="64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</row>
    <row r="260" spans="1:68" ht="25.25" customHeight="1">
      <c r="A260" s="662"/>
      <c r="B260" s="82" t="s">
        <v>429</v>
      </c>
      <c r="C260" s="262" t="s">
        <v>81</v>
      </c>
      <c r="D260" s="58">
        <v>270</v>
      </c>
      <c r="E260" s="182">
        <v>210</v>
      </c>
      <c r="F260" s="138">
        <f t="shared" si="3"/>
        <v>0</v>
      </c>
      <c r="G260" s="168"/>
      <c r="H260" s="448"/>
      <c r="I260" s="64"/>
      <c r="J260" s="58"/>
      <c r="K260" s="58"/>
      <c r="L260" s="64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</row>
    <row r="261" spans="1:68" ht="25.25" customHeight="1">
      <c r="A261" s="662"/>
      <c r="B261" s="82" t="s">
        <v>430</v>
      </c>
      <c r="C261" s="262" t="s">
        <v>81</v>
      </c>
      <c r="D261" s="58">
        <v>270</v>
      </c>
      <c r="E261" s="182">
        <v>210</v>
      </c>
      <c r="F261" s="138">
        <f t="shared" ref="F261:F324" si="4">SUM(I261:BP261)</f>
        <v>0</v>
      </c>
      <c r="G261" s="168"/>
      <c r="H261" s="448"/>
      <c r="I261" s="64"/>
      <c r="J261" s="58"/>
      <c r="K261" s="58"/>
      <c r="L261" s="64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</row>
    <row r="262" spans="1:68" ht="25.25" customHeight="1">
      <c r="A262" s="662"/>
      <c r="B262" s="82" t="s">
        <v>431</v>
      </c>
      <c r="C262" s="262" t="s">
        <v>81</v>
      </c>
      <c r="D262" s="58">
        <v>270</v>
      </c>
      <c r="E262" s="182">
        <v>210</v>
      </c>
      <c r="F262" s="138">
        <f t="shared" si="4"/>
        <v>0</v>
      </c>
      <c r="G262" s="168"/>
      <c r="H262" s="448"/>
      <c r="I262" s="64"/>
      <c r="J262" s="58"/>
      <c r="K262" s="58"/>
      <c r="L262" s="64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</row>
    <row r="263" spans="1:68" ht="25.25" customHeight="1">
      <c r="A263" s="662"/>
      <c r="B263" s="82" t="s">
        <v>478</v>
      </c>
      <c r="C263" s="262" t="s">
        <v>81</v>
      </c>
      <c r="D263" s="58">
        <v>270</v>
      </c>
      <c r="E263" s="182">
        <v>210</v>
      </c>
      <c r="F263" s="138">
        <f t="shared" si="4"/>
        <v>0</v>
      </c>
      <c r="G263" s="168"/>
      <c r="H263" s="448"/>
      <c r="I263" s="64"/>
      <c r="J263" s="58"/>
      <c r="K263" s="58"/>
      <c r="L263" s="64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</row>
    <row r="264" spans="1:68" ht="25.25" customHeight="1">
      <c r="A264" s="662"/>
      <c r="B264" s="82" t="s">
        <v>796</v>
      </c>
      <c r="C264" s="262" t="s">
        <v>81</v>
      </c>
      <c r="D264" s="58">
        <v>270</v>
      </c>
      <c r="E264" s="182">
        <v>210</v>
      </c>
      <c r="F264" s="138">
        <f t="shared" si="4"/>
        <v>0</v>
      </c>
      <c r="G264" s="168"/>
      <c r="H264" s="448"/>
      <c r="I264" s="64"/>
      <c r="J264" s="58"/>
      <c r="K264" s="58"/>
      <c r="L264" s="64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</row>
    <row r="265" spans="1:68" ht="25.25" customHeight="1">
      <c r="A265" s="662"/>
      <c r="B265" s="82" t="s">
        <v>479</v>
      </c>
      <c r="C265" s="262" t="s">
        <v>81</v>
      </c>
      <c r="D265" s="58">
        <v>270</v>
      </c>
      <c r="E265" s="182">
        <v>210</v>
      </c>
      <c r="F265" s="138">
        <f t="shared" si="4"/>
        <v>0</v>
      </c>
      <c r="G265" s="168"/>
      <c r="H265" s="448"/>
      <c r="I265" s="64"/>
      <c r="J265" s="58"/>
      <c r="K265" s="58"/>
      <c r="L265" s="64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</row>
    <row r="266" spans="1:68" ht="25.25" customHeight="1">
      <c r="A266" s="662"/>
      <c r="B266" s="82" t="s">
        <v>795</v>
      </c>
      <c r="C266" s="262" t="s">
        <v>81</v>
      </c>
      <c r="D266" s="58">
        <v>270</v>
      </c>
      <c r="E266" s="182">
        <v>210</v>
      </c>
      <c r="F266" s="227">
        <f t="shared" si="4"/>
        <v>0</v>
      </c>
      <c r="G266" s="168"/>
      <c r="H266" s="448"/>
      <c r="I266" s="64"/>
      <c r="J266" s="58"/>
      <c r="K266" s="58"/>
      <c r="L266" s="64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</row>
    <row r="267" spans="1:68" ht="25.25" customHeight="1">
      <c r="A267" s="662"/>
      <c r="B267" s="82" t="s">
        <v>481</v>
      </c>
      <c r="C267" s="262" t="s">
        <v>81</v>
      </c>
      <c r="D267" s="58">
        <v>270</v>
      </c>
      <c r="E267" s="53">
        <v>210</v>
      </c>
      <c r="F267" s="138">
        <f t="shared" si="4"/>
        <v>0</v>
      </c>
      <c r="G267" s="168"/>
      <c r="H267" s="448"/>
      <c r="I267" s="64"/>
      <c r="J267" s="58"/>
      <c r="K267" s="58"/>
      <c r="L267" s="64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</row>
    <row r="268" spans="1:68" ht="25.25" customHeight="1">
      <c r="A268" s="662"/>
      <c r="B268" s="82" t="s">
        <v>482</v>
      </c>
      <c r="C268" s="262" t="s">
        <v>81</v>
      </c>
      <c r="D268" s="58">
        <v>270</v>
      </c>
      <c r="E268" s="182">
        <v>210</v>
      </c>
      <c r="F268" s="140">
        <f t="shared" si="4"/>
        <v>0</v>
      </c>
      <c r="G268" s="578"/>
      <c r="H268" s="448"/>
      <c r="I268" s="64"/>
      <c r="J268" s="58"/>
      <c r="K268" s="58"/>
      <c r="L268" s="64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</row>
    <row r="269" spans="1:68" ht="25.25" customHeight="1">
      <c r="A269" s="662"/>
      <c r="B269" s="82" t="s">
        <v>483</v>
      </c>
      <c r="C269" s="262" t="s">
        <v>81</v>
      </c>
      <c r="D269" s="58">
        <v>270</v>
      </c>
      <c r="E269" s="182">
        <v>210</v>
      </c>
      <c r="F269" s="138">
        <f t="shared" si="4"/>
        <v>0</v>
      </c>
      <c r="G269" s="578"/>
      <c r="H269" s="448"/>
      <c r="I269" s="64"/>
      <c r="J269" s="58"/>
      <c r="K269" s="58"/>
      <c r="L269" s="64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</row>
    <row r="270" spans="1:68" ht="25.25" customHeight="1">
      <c r="A270" s="662"/>
      <c r="B270" s="521" t="s">
        <v>778</v>
      </c>
      <c r="C270" s="471" t="s">
        <v>81</v>
      </c>
      <c r="D270" s="339">
        <v>320</v>
      </c>
      <c r="E270" s="340">
        <v>300</v>
      </c>
      <c r="F270" s="369">
        <f t="shared" si="4"/>
        <v>0</v>
      </c>
      <c r="G270" s="467" t="s">
        <v>755</v>
      </c>
      <c r="H270" s="448"/>
      <c r="I270" s="64"/>
      <c r="J270" s="58"/>
      <c r="K270" s="58"/>
      <c r="L270" s="64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</row>
    <row r="271" spans="1:68" ht="25.25" customHeight="1">
      <c r="A271" s="662"/>
      <c r="B271" s="521" t="s">
        <v>779</v>
      </c>
      <c r="C271" s="471" t="s">
        <v>81</v>
      </c>
      <c r="D271" s="339">
        <v>320</v>
      </c>
      <c r="E271" s="340">
        <v>300</v>
      </c>
      <c r="F271" s="369">
        <f t="shared" si="4"/>
        <v>0</v>
      </c>
      <c r="G271" s="467" t="s">
        <v>755</v>
      </c>
      <c r="H271" s="448"/>
      <c r="I271" s="64"/>
      <c r="J271" s="58"/>
      <c r="K271" s="58"/>
      <c r="L271" s="64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</row>
    <row r="272" spans="1:68" ht="25.25" customHeight="1">
      <c r="A272" s="662"/>
      <c r="B272" s="521" t="s">
        <v>780</v>
      </c>
      <c r="C272" s="471" t="s">
        <v>81</v>
      </c>
      <c r="D272" s="339">
        <v>320</v>
      </c>
      <c r="E272" s="340">
        <v>300</v>
      </c>
      <c r="F272" s="369">
        <f t="shared" si="4"/>
        <v>0</v>
      </c>
      <c r="G272" s="467" t="s">
        <v>755</v>
      </c>
      <c r="H272" s="448"/>
      <c r="I272" s="64"/>
      <c r="J272" s="58"/>
      <c r="K272" s="58"/>
      <c r="L272" s="64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</row>
    <row r="273" spans="1:68" ht="25.25" customHeight="1">
      <c r="A273" s="662"/>
      <c r="B273" s="521" t="s">
        <v>781</v>
      </c>
      <c r="C273" s="471" t="s">
        <v>81</v>
      </c>
      <c r="D273" s="339">
        <v>320</v>
      </c>
      <c r="E273" s="340">
        <v>300</v>
      </c>
      <c r="F273" s="369">
        <f t="shared" si="4"/>
        <v>0</v>
      </c>
      <c r="G273" s="467" t="s">
        <v>755</v>
      </c>
      <c r="H273" s="448"/>
      <c r="I273" s="64"/>
      <c r="J273" s="58"/>
      <c r="K273" s="58"/>
      <c r="L273" s="64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</row>
    <row r="274" spans="1:68" ht="25.25" customHeight="1">
      <c r="A274" s="662"/>
      <c r="B274" s="344" t="s">
        <v>647</v>
      </c>
      <c r="C274" s="327" t="s">
        <v>377</v>
      </c>
      <c r="D274" s="190">
        <v>399</v>
      </c>
      <c r="E274" s="123">
        <v>278</v>
      </c>
      <c r="F274" s="229">
        <f t="shared" si="4"/>
        <v>0</v>
      </c>
      <c r="G274" s="328"/>
      <c r="H274" s="448"/>
      <c r="I274" s="64"/>
      <c r="J274" s="58"/>
      <c r="K274" s="58"/>
      <c r="L274" s="64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</row>
    <row r="275" spans="1:68" ht="25.25" customHeight="1">
      <c r="A275" s="662"/>
      <c r="B275" s="344" t="s">
        <v>648</v>
      </c>
      <c r="C275" s="327" t="s">
        <v>377</v>
      </c>
      <c r="D275" s="190">
        <v>399</v>
      </c>
      <c r="E275" s="123">
        <v>278</v>
      </c>
      <c r="F275" s="229">
        <f t="shared" si="4"/>
        <v>0</v>
      </c>
      <c r="G275" s="328"/>
      <c r="H275" s="448"/>
      <c r="I275" s="64"/>
      <c r="J275" s="58"/>
      <c r="K275" s="58"/>
      <c r="L275" s="64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</row>
    <row r="276" spans="1:68" ht="25.25" customHeight="1">
      <c r="A276" s="662"/>
      <c r="B276" s="344" t="s">
        <v>649</v>
      </c>
      <c r="C276" s="327" t="s">
        <v>377</v>
      </c>
      <c r="D276" s="190">
        <v>399</v>
      </c>
      <c r="E276" s="123">
        <v>278</v>
      </c>
      <c r="F276" s="229">
        <f t="shared" si="4"/>
        <v>0</v>
      </c>
      <c r="G276" s="328"/>
      <c r="H276" s="448"/>
      <c r="I276" s="64"/>
      <c r="J276" s="58"/>
      <c r="K276" s="58"/>
      <c r="L276" s="64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</row>
    <row r="277" spans="1:68" ht="25.25" customHeight="1">
      <c r="A277" s="662"/>
      <c r="B277" s="344" t="s">
        <v>650</v>
      </c>
      <c r="C277" s="327" t="s">
        <v>377</v>
      </c>
      <c r="D277" s="190">
        <v>399</v>
      </c>
      <c r="E277" s="123">
        <v>278</v>
      </c>
      <c r="F277" s="229">
        <f t="shared" si="4"/>
        <v>0</v>
      </c>
      <c r="G277" s="328"/>
      <c r="H277" s="448"/>
      <c r="I277" s="64"/>
      <c r="J277" s="58"/>
      <c r="K277" s="58"/>
      <c r="L277" s="64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</row>
    <row r="278" spans="1:68" ht="25.25" customHeight="1">
      <c r="A278" s="662"/>
      <c r="B278" s="82" t="s">
        <v>805</v>
      </c>
      <c r="C278" s="262" t="s">
        <v>81</v>
      </c>
      <c r="D278" s="58">
        <v>100</v>
      </c>
      <c r="E278" s="182">
        <v>75</v>
      </c>
      <c r="F278" s="138">
        <f t="shared" si="4"/>
        <v>0</v>
      </c>
      <c r="G278" s="168"/>
      <c r="H278" s="448"/>
      <c r="I278" s="64"/>
      <c r="J278" s="58"/>
      <c r="K278" s="58"/>
      <c r="L278" s="64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</row>
    <row r="279" spans="1:68" ht="25.25" customHeight="1">
      <c r="A279" s="662"/>
      <c r="B279" s="82" t="s">
        <v>804</v>
      </c>
      <c r="C279" s="262" t="s">
        <v>81</v>
      </c>
      <c r="D279" s="58">
        <v>100</v>
      </c>
      <c r="E279" s="182">
        <v>75</v>
      </c>
      <c r="F279" s="138">
        <f t="shared" si="4"/>
        <v>0</v>
      </c>
      <c r="G279" s="168"/>
      <c r="H279" s="448"/>
      <c r="I279" s="64"/>
      <c r="J279" s="58"/>
      <c r="K279" s="58"/>
      <c r="L279" s="64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</row>
    <row r="280" spans="1:68" ht="25.25" customHeight="1">
      <c r="A280" s="662"/>
      <c r="B280" s="82" t="s">
        <v>806</v>
      </c>
      <c r="C280" s="262" t="s">
        <v>81</v>
      </c>
      <c r="D280" s="58">
        <v>100</v>
      </c>
      <c r="E280" s="182">
        <v>75</v>
      </c>
      <c r="F280" s="138">
        <f t="shared" si="4"/>
        <v>0</v>
      </c>
      <c r="G280" s="168"/>
      <c r="H280" s="448"/>
      <c r="I280" s="64"/>
      <c r="J280" s="58"/>
      <c r="K280" s="58"/>
      <c r="L280" s="64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</row>
    <row r="281" spans="1:68" ht="25.25" customHeight="1">
      <c r="A281" s="662"/>
      <c r="B281" s="82" t="s">
        <v>788</v>
      </c>
      <c r="C281" s="262" t="s">
        <v>81</v>
      </c>
      <c r="D281" s="58">
        <v>100</v>
      </c>
      <c r="E281" s="182">
        <v>75</v>
      </c>
      <c r="F281" s="138">
        <f t="shared" si="4"/>
        <v>0</v>
      </c>
      <c r="G281" s="168"/>
      <c r="H281" s="448"/>
      <c r="I281" s="64"/>
      <c r="J281" s="58"/>
      <c r="K281" s="58"/>
      <c r="L281" s="64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</row>
    <row r="282" spans="1:68" ht="25.25" customHeight="1">
      <c r="A282" s="662"/>
      <c r="B282" s="82" t="s">
        <v>789</v>
      </c>
      <c r="C282" s="262" t="s">
        <v>81</v>
      </c>
      <c r="D282" s="58">
        <v>100</v>
      </c>
      <c r="E282" s="182">
        <v>75</v>
      </c>
      <c r="F282" s="138">
        <f t="shared" si="4"/>
        <v>0</v>
      </c>
      <c r="G282" s="168"/>
      <c r="H282" s="448"/>
      <c r="I282" s="64"/>
      <c r="J282" s="58"/>
      <c r="K282" s="58"/>
      <c r="L282" s="64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</row>
    <row r="283" spans="1:68" ht="25.25" customHeight="1">
      <c r="A283" s="662"/>
      <c r="B283" s="86" t="s">
        <v>740</v>
      </c>
      <c r="C283" s="297" t="s">
        <v>81</v>
      </c>
      <c r="D283" s="101">
        <v>130</v>
      </c>
      <c r="E283" s="87">
        <v>95</v>
      </c>
      <c r="F283" s="207">
        <f t="shared" si="4"/>
        <v>0</v>
      </c>
      <c r="G283" s="178"/>
      <c r="H283" s="448"/>
      <c r="I283" s="64"/>
      <c r="J283" s="58"/>
      <c r="K283" s="58"/>
      <c r="L283" s="64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</row>
    <row r="284" spans="1:68" ht="25.25" customHeight="1">
      <c r="A284" s="662"/>
      <c r="B284" s="86" t="s">
        <v>741</v>
      </c>
      <c r="C284" s="297" t="s">
        <v>81</v>
      </c>
      <c r="D284" s="101">
        <v>130</v>
      </c>
      <c r="E284" s="87">
        <v>95</v>
      </c>
      <c r="F284" s="207">
        <f t="shared" si="4"/>
        <v>0</v>
      </c>
      <c r="G284" s="178"/>
      <c r="H284" s="448"/>
      <c r="I284" s="64"/>
      <c r="J284" s="58"/>
      <c r="K284" s="58"/>
      <c r="L284" s="64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</row>
    <row r="285" spans="1:68" ht="25.25" customHeight="1">
      <c r="A285" s="662"/>
      <c r="B285" s="86" t="s">
        <v>742</v>
      </c>
      <c r="C285" s="297" t="s">
        <v>81</v>
      </c>
      <c r="D285" s="101">
        <v>130</v>
      </c>
      <c r="E285" s="87">
        <v>95</v>
      </c>
      <c r="F285" s="207">
        <f t="shared" si="4"/>
        <v>0</v>
      </c>
      <c r="G285" s="178"/>
      <c r="H285" s="448"/>
      <c r="I285" s="64"/>
      <c r="J285" s="58"/>
      <c r="K285" s="58"/>
      <c r="L285" s="64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</row>
    <row r="286" spans="1:68" ht="25.25" customHeight="1">
      <c r="A286" s="662"/>
      <c r="B286" s="89" t="s">
        <v>799</v>
      </c>
      <c r="C286" s="297" t="s">
        <v>81</v>
      </c>
      <c r="D286" s="99">
        <v>130</v>
      </c>
      <c r="E286" s="90">
        <v>95</v>
      </c>
      <c r="F286" s="179">
        <f t="shared" si="4"/>
        <v>0</v>
      </c>
      <c r="G286" s="178"/>
      <c r="H286" s="448"/>
      <c r="I286" s="64"/>
      <c r="J286" s="58"/>
      <c r="K286" s="58"/>
      <c r="L286" s="64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</row>
    <row r="287" spans="1:68" ht="25.25" customHeight="1">
      <c r="A287" s="662"/>
      <c r="B287" s="89" t="s">
        <v>803</v>
      </c>
      <c r="C287" s="297" t="s">
        <v>81</v>
      </c>
      <c r="D287" s="99">
        <v>130</v>
      </c>
      <c r="E287" s="90">
        <v>95</v>
      </c>
      <c r="F287" s="179">
        <f t="shared" si="4"/>
        <v>0</v>
      </c>
      <c r="G287" s="178"/>
      <c r="H287" s="448"/>
      <c r="I287" s="64"/>
      <c r="J287" s="58"/>
      <c r="K287" s="58"/>
      <c r="L287" s="64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</row>
    <row r="288" spans="1:68" ht="25.25" customHeight="1">
      <c r="A288" s="662"/>
      <c r="B288" s="89" t="s">
        <v>802</v>
      </c>
      <c r="C288" s="297" t="s">
        <v>81</v>
      </c>
      <c r="D288" s="99">
        <v>130</v>
      </c>
      <c r="E288" s="90">
        <v>95</v>
      </c>
      <c r="F288" s="179">
        <f t="shared" si="4"/>
        <v>0</v>
      </c>
      <c r="G288" s="178"/>
      <c r="H288" s="448"/>
      <c r="I288" s="64"/>
      <c r="J288" s="58"/>
      <c r="K288" s="58"/>
      <c r="L288" s="64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</row>
    <row r="289" spans="1:68" ht="25.25" customHeight="1">
      <c r="A289" s="662"/>
      <c r="B289" s="89" t="s">
        <v>800</v>
      </c>
      <c r="C289" s="297" t="s">
        <v>81</v>
      </c>
      <c r="D289" s="99">
        <v>130</v>
      </c>
      <c r="E289" s="90">
        <v>95</v>
      </c>
      <c r="F289" s="179">
        <f t="shared" si="4"/>
        <v>0</v>
      </c>
      <c r="G289" s="178"/>
      <c r="H289" s="448"/>
      <c r="I289" s="64"/>
      <c r="J289" s="58"/>
      <c r="K289" s="58"/>
      <c r="L289" s="64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</row>
    <row r="290" spans="1:68" ht="25.25" customHeight="1">
      <c r="A290" s="662"/>
      <c r="B290" s="89" t="s">
        <v>801</v>
      </c>
      <c r="C290" s="297" t="s">
        <v>81</v>
      </c>
      <c r="D290" s="99">
        <v>130</v>
      </c>
      <c r="E290" s="90">
        <v>95</v>
      </c>
      <c r="F290" s="179">
        <f t="shared" si="4"/>
        <v>0</v>
      </c>
      <c r="G290" s="178"/>
      <c r="H290" s="448"/>
      <c r="I290" s="64"/>
      <c r="J290" s="58"/>
      <c r="K290" s="58"/>
      <c r="L290" s="64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</row>
    <row r="291" spans="1:68" ht="25.25" customHeight="1">
      <c r="A291" s="662"/>
      <c r="B291" s="89" t="s">
        <v>797</v>
      </c>
      <c r="C291" s="297" t="s">
        <v>81</v>
      </c>
      <c r="D291" s="99">
        <v>130</v>
      </c>
      <c r="E291" s="90">
        <v>95</v>
      </c>
      <c r="F291" s="179">
        <f t="shared" si="4"/>
        <v>0</v>
      </c>
      <c r="G291" s="178"/>
      <c r="H291" s="448"/>
      <c r="I291" s="64"/>
      <c r="J291" s="58"/>
      <c r="K291" s="58"/>
      <c r="L291" s="64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</row>
    <row r="292" spans="1:68" ht="25.25" customHeight="1">
      <c r="A292" s="662"/>
      <c r="B292" s="89" t="s">
        <v>798</v>
      </c>
      <c r="C292" s="297" t="s">
        <v>81</v>
      </c>
      <c r="D292" s="99">
        <v>130</v>
      </c>
      <c r="E292" s="90">
        <v>95</v>
      </c>
      <c r="F292" s="179">
        <f t="shared" si="4"/>
        <v>0</v>
      </c>
      <c r="G292" s="178"/>
      <c r="H292" s="448"/>
      <c r="I292" s="64"/>
      <c r="J292" s="58"/>
      <c r="K292" s="58"/>
      <c r="L292" s="64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</row>
    <row r="293" spans="1:68" ht="25.25" customHeight="1">
      <c r="A293" s="662"/>
      <c r="B293" s="329" t="s">
        <v>787</v>
      </c>
      <c r="C293" s="330" t="s">
        <v>81</v>
      </c>
      <c r="D293" s="331">
        <v>150</v>
      </c>
      <c r="E293" s="119">
        <v>100</v>
      </c>
      <c r="F293" s="342">
        <f t="shared" si="4"/>
        <v>0</v>
      </c>
      <c r="G293" s="564"/>
      <c r="H293" s="448"/>
      <c r="I293" s="64"/>
      <c r="J293" s="58"/>
      <c r="K293" s="58"/>
      <c r="L293" s="64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</row>
    <row r="294" spans="1:68" ht="25.25" customHeight="1">
      <c r="A294" s="662"/>
      <c r="B294" s="329" t="s">
        <v>782</v>
      </c>
      <c r="C294" s="330" t="s">
        <v>81</v>
      </c>
      <c r="D294" s="331">
        <v>150</v>
      </c>
      <c r="E294" s="119">
        <v>100</v>
      </c>
      <c r="F294" s="342">
        <f t="shared" si="4"/>
        <v>0</v>
      </c>
      <c r="G294" s="564"/>
      <c r="H294" s="448"/>
      <c r="I294" s="64"/>
      <c r="J294" s="58"/>
      <c r="K294" s="58"/>
      <c r="L294" s="64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</row>
    <row r="295" spans="1:68" ht="25.25" customHeight="1">
      <c r="A295" s="662"/>
      <c r="B295" s="329" t="s">
        <v>783</v>
      </c>
      <c r="C295" s="330" t="s">
        <v>81</v>
      </c>
      <c r="D295" s="331">
        <v>150</v>
      </c>
      <c r="E295" s="119">
        <v>100</v>
      </c>
      <c r="F295" s="342">
        <f t="shared" si="4"/>
        <v>0</v>
      </c>
      <c r="G295" s="564"/>
      <c r="H295" s="448"/>
      <c r="I295" s="64"/>
      <c r="J295" s="58"/>
      <c r="K295" s="58"/>
      <c r="L295" s="64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</row>
    <row r="296" spans="1:68" ht="25.25" customHeight="1">
      <c r="A296" s="662"/>
      <c r="B296" s="329" t="s">
        <v>784</v>
      </c>
      <c r="C296" s="330" t="s">
        <v>81</v>
      </c>
      <c r="D296" s="331">
        <v>150</v>
      </c>
      <c r="E296" s="119">
        <v>100</v>
      </c>
      <c r="F296" s="342">
        <f t="shared" si="4"/>
        <v>0</v>
      </c>
      <c r="G296" s="564"/>
      <c r="H296" s="448"/>
      <c r="I296" s="64"/>
      <c r="J296" s="58"/>
      <c r="K296" s="58"/>
      <c r="L296" s="64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</row>
    <row r="297" spans="1:68" ht="25.25" customHeight="1">
      <c r="A297" s="662"/>
      <c r="B297" s="329" t="s">
        <v>785</v>
      </c>
      <c r="C297" s="330" t="s">
        <v>81</v>
      </c>
      <c r="D297" s="331">
        <v>150</v>
      </c>
      <c r="E297" s="119">
        <v>100</v>
      </c>
      <c r="F297" s="342">
        <f t="shared" si="4"/>
        <v>0</v>
      </c>
      <c r="G297" s="564"/>
      <c r="H297" s="448"/>
      <c r="I297" s="64"/>
      <c r="J297" s="58"/>
      <c r="K297" s="58"/>
      <c r="L297" s="64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</row>
    <row r="298" spans="1:68" ht="22.75" customHeight="1">
      <c r="A298" s="662"/>
      <c r="B298" s="329" t="s">
        <v>786</v>
      </c>
      <c r="C298" s="330" t="s">
        <v>81</v>
      </c>
      <c r="D298" s="331">
        <v>150</v>
      </c>
      <c r="E298" s="119">
        <v>100</v>
      </c>
      <c r="F298" s="342">
        <f t="shared" si="4"/>
        <v>0</v>
      </c>
      <c r="G298" s="564"/>
      <c r="H298" s="448"/>
      <c r="I298" s="64"/>
      <c r="J298" s="58"/>
      <c r="K298" s="58"/>
      <c r="L298" s="64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</row>
    <row r="299" spans="1:68" ht="19.75" hidden="1" customHeight="1">
      <c r="A299" s="662"/>
      <c r="B299" s="83" t="s">
        <v>128</v>
      </c>
      <c r="C299" s="284" t="s">
        <v>4</v>
      </c>
      <c r="D299" s="184">
        <v>150</v>
      </c>
      <c r="E299" s="55">
        <v>125</v>
      </c>
      <c r="F299" s="140">
        <f t="shared" si="4"/>
        <v>0</v>
      </c>
      <c r="G299" s="371"/>
      <c r="H299" s="448"/>
      <c r="I299" s="64"/>
      <c r="J299" s="58"/>
      <c r="K299" s="58"/>
      <c r="L299" s="64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</row>
    <row r="300" spans="1:68" ht="27.65" customHeight="1" thickBot="1">
      <c r="A300" s="663"/>
      <c r="B300" s="79"/>
      <c r="C300" s="282"/>
      <c r="D300" s="100"/>
      <c r="E300" s="54"/>
      <c r="F300" s="141">
        <f t="shared" si="4"/>
        <v>0</v>
      </c>
      <c r="G300" s="349"/>
      <c r="H300" s="448"/>
      <c r="I300" s="64"/>
      <c r="J300" s="58"/>
      <c r="K300" s="58"/>
      <c r="L300" s="64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</row>
    <row r="301" spans="1:68" ht="25.25" customHeight="1" thickBot="1">
      <c r="A301" s="680" t="s">
        <v>427</v>
      </c>
      <c r="B301" s="249" t="s">
        <v>759</v>
      </c>
      <c r="C301" s="288" t="s">
        <v>15</v>
      </c>
      <c r="D301" s="250">
        <v>290</v>
      </c>
      <c r="E301" s="251">
        <v>245</v>
      </c>
      <c r="F301" s="252">
        <f t="shared" si="4"/>
        <v>0</v>
      </c>
      <c r="G301" s="253" t="s">
        <v>576</v>
      </c>
      <c r="H301" s="448"/>
      <c r="I301" s="64"/>
      <c r="J301" s="58"/>
      <c r="K301" s="58"/>
      <c r="L301" s="64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</row>
    <row r="302" spans="1:68" ht="25.25" customHeight="1" thickBot="1">
      <c r="A302" s="681"/>
      <c r="B302" s="254" t="s">
        <v>760</v>
      </c>
      <c r="C302" s="288" t="s">
        <v>15</v>
      </c>
      <c r="D302" s="255">
        <v>290</v>
      </c>
      <c r="E302" s="256">
        <v>245</v>
      </c>
      <c r="F302" s="257">
        <f t="shared" si="4"/>
        <v>0</v>
      </c>
      <c r="G302" s="253" t="s">
        <v>576</v>
      </c>
      <c r="H302" s="448"/>
      <c r="I302" s="64"/>
      <c r="J302" s="58"/>
      <c r="K302" s="58"/>
      <c r="L302" s="64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</row>
    <row r="303" spans="1:68" ht="25.25" customHeight="1" thickBot="1">
      <c r="A303" s="681"/>
      <c r="B303" s="254" t="s">
        <v>761</v>
      </c>
      <c r="C303" s="288" t="s">
        <v>15</v>
      </c>
      <c r="D303" s="255">
        <v>290</v>
      </c>
      <c r="E303" s="256">
        <v>245</v>
      </c>
      <c r="F303" s="257">
        <f t="shared" si="4"/>
        <v>0</v>
      </c>
      <c r="G303" s="253" t="s">
        <v>576</v>
      </c>
      <c r="H303" s="448"/>
      <c r="I303" s="64"/>
      <c r="J303" s="58"/>
      <c r="K303" s="58"/>
      <c r="L303" s="64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</row>
    <row r="304" spans="1:68" ht="25.25" customHeight="1" thickBot="1">
      <c r="A304" s="681"/>
      <c r="B304" s="254" t="s">
        <v>762</v>
      </c>
      <c r="C304" s="288" t="s">
        <v>15</v>
      </c>
      <c r="D304" s="255">
        <v>290</v>
      </c>
      <c r="E304" s="256">
        <v>245</v>
      </c>
      <c r="F304" s="257">
        <f t="shared" si="4"/>
        <v>0</v>
      </c>
      <c r="G304" s="253" t="s">
        <v>576</v>
      </c>
      <c r="H304" s="448"/>
      <c r="I304" s="64"/>
      <c r="J304" s="58"/>
      <c r="K304" s="58"/>
      <c r="L304" s="64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</row>
    <row r="305" spans="1:68" ht="25.25" customHeight="1">
      <c r="A305" s="681"/>
      <c r="B305" s="258" t="s">
        <v>763</v>
      </c>
      <c r="C305" s="288" t="s">
        <v>15</v>
      </c>
      <c r="D305" s="255">
        <v>290</v>
      </c>
      <c r="E305" s="256">
        <v>245</v>
      </c>
      <c r="F305" s="257">
        <f t="shared" si="4"/>
        <v>0</v>
      </c>
      <c r="G305" s="253" t="s">
        <v>576</v>
      </c>
      <c r="H305" s="448"/>
      <c r="I305" s="64"/>
      <c r="J305" s="58"/>
      <c r="K305" s="58"/>
      <c r="L305" s="64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</row>
    <row r="306" spans="1:68" ht="25.25" customHeight="1" thickBot="1">
      <c r="A306" s="682"/>
      <c r="B306" s="79"/>
      <c r="C306" s="282"/>
      <c r="D306" s="100"/>
      <c r="E306" s="54"/>
      <c r="F306" s="234">
        <f t="shared" si="4"/>
        <v>0</v>
      </c>
      <c r="G306" s="386"/>
      <c r="H306" s="448"/>
      <c r="I306" s="64"/>
      <c r="J306" s="58"/>
      <c r="K306" s="58"/>
      <c r="L306" s="64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</row>
    <row r="307" spans="1:68" ht="27.65" customHeight="1">
      <c r="A307" s="666" t="s">
        <v>200</v>
      </c>
      <c r="B307" s="115" t="s">
        <v>544</v>
      </c>
      <c r="C307" s="281" t="s">
        <v>165</v>
      </c>
      <c r="D307" s="184">
        <v>260</v>
      </c>
      <c r="E307" s="55">
        <v>220</v>
      </c>
      <c r="F307" s="140">
        <f t="shared" si="4"/>
        <v>0</v>
      </c>
      <c r="G307" s="384" t="s">
        <v>247</v>
      </c>
      <c r="H307" s="448"/>
      <c r="I307" s="64"/>
      <c r="J307" s="58"/>
      <c r="K307" s="58"/>
      <c r="L307" s="64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</row>
    <row r="308" spans="1:68" ht="31.25" customHeight="1">
      <c r="A308" s="667"/>
      <c r="B308" s="111" t="s">
        <v>83</v>
      </c>
      <c r="C308" s="281" t="s">
        <v>175</v>
      </c>
      <c r="D308" s="58">
        <v>470</v>
      </c>
      <c r="E308" s="182">
        <v>330</v>
      </c>
      <c r="F308" s="233">
        <f t="shared" si="4"/>
        <v>0</v>
      </c>
      <c r="G308" s="381"/>
      <c r="H308" s="448"/>
      <c r="I308" s="64"/>
      <c r="J308" s="58"/>
      <c r="K308" s="58"/>
      <c r="L308" s="64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</row>
    <row r="309" spans="1:68" ht="27" customHeight="1">
      <c r="A309" s="667"/>
      <c r="B309" s="533" t="s">
        <v>537</v>
      </c>
      <c r="C309" s="534" t="s">
        <v>174</v>
      </c>
      <c r="D309" s="535">
        <v>630</v>
      </c>
      <c r="E309" s="536">
        <v>430</v>
      </c>
      <c r="F309" s="537">
        <f t="shared" si="4"/>
        <v>0</v>
      </c>
      <c r="G309" s="538"/>
      <c r="H309" s="448"/>
      <c r="I309" s="64"/>
      <c r="J309" s="58"/>
      <c r="K309" s="58"/>
      <c r="L309" s="64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</row>
    <row r="310" spans="1:68" ht="27.65" customHeight="1">
      <c r="A310" s="667"/>
      <c r="B310" s="444" t="s">
        <v>756</v>
      </c>
      <c r="C310" s="280" t="s">
        <v>174</v>
      </c>
      <c r="D310" s="99">
        <v>3780</v>
      </c>
      <c r="E310" s="90">
        <v>2340</v>
      </c>
      <c r="F310" s="460">
        <f t="shared" si="4"/>
        <v>0</v>
      </c>
      <c r="G310" s="461"/>
      <c r="H310" s="448"/>
      <c r="I310" s="64"/>
      <c r="J310" s="58"/>
      <c r="K310" s="58"/>
      <c r="L310" s="64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</row>
    <row r="311" spans="1:68" ht="25.25" customHeight="1">
      <c r="A311" s="667"/>
      <c r="B311" s="82" t="s">
        <v>220</v>
      </c>
      <c r="C311" s="272" t="s">
        <v>180</v>
      </c>
      <c r="D311" s="58">
        <v>350</v>
      </c>
      <c r="E311" s="182">
        <v>220</v>
      </c>
      <c r="F311" s="233">
        <f t="shared" si="4"/>
        <v>0</v>
      </c>
      <c r="G311" s="371"/>
      <c r="H311" s="448"/>
      <c r="I311" s="64"/>
      <c r="J311" s="58"/>
      <c r="K311" s="58"/>
      <c r="L311" s="64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</row>
    <row r="312" spans="1:68" ht="25.25" customHeight="1">
      <c r="A312" s="667"/>
      <c r="B312" s="82" t="s">
        <v>182</v>
      </c>
      <c r="C312" s="281" t="s">
        <v>181</v>
      </c>
      <c r="D312" s="58">
        <v>250</v>
      </c>
      <c r="E312" s="182">
        <v>178</v>
      </c>
      <c r="F312" s="233">
        <f t="shared" si="4"/>
        <v>0</v>
      </c>
      <c r="G312" s="371"/>
      <c r="H312" s="448"/>
      <c r="I312" s="64"/>
      <c r="J312" s="58"/>
      <c r="K312" s="58"/>
      <c r="L312" s="64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</row>
    <row r="313" spans="1:68" ht="25.25" customHeight="1">
      <c r="A313" s="667"/>
      <c r="B313" s="82" t="s">
        <v>183</v>
      </c>
      <c r="C313" s="281" t="s">
        <v>181</v>
      </c>
      <c r="D313" s="58">
        <v>250</v>
      </c>
      <c r="E313" s="182">
        <v>178</v>
      </c>
      <c r="F313" s="233">
        <f t="shared" si="4"/>
        <v>0</v>
      </c>
      <c r="G313" s="371"/>
      <c r="H313" s="448"/>
      <c r="I313" s="64"/>
      <c r="J313" s="58"/>
      <c r="K313" s="58"/>
      <c r="L313" s="64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</row>
    <row r="314" spans="1:68" ht="25.25" customHeight="1">
      <c r="A314" s="667"/>
      <c r="B314" s="82" t="s">
        <v>33</v>
      </c>
      <c r="C314" s="272" t="s">
        <v>15</v>
      </c>
      <c r="D314" s="58">
        <v>270</v>
      </c>
      <c r="E314" s="182">
        <v>188</v>
      </c>
      <c r="F314" s="233">
        <f t="shared" si="4"/>
        <v>0</v>
      </c>
      <c r="G314" s="371"/>
      <c r="H314" s="448"/>
      <c r="I314" s="64"/>
      <c r="J314" s="58"/>
      <c r="K314" s="58"/>
      <c r="L314" s="64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</row>
    <row r="315" spans="1:68" ht="25.25" customHeight="1">
      <c r="A315" s="667"/>
      <c r="B315" s="82" t="s">
        <v>30</v>
      </c>
      <c r="C315" s="272" t="s">
        <v>15</v>
      </c>
      <c r="D315" s="58">
        <v>270</v>
      </c>
      <c r="E315" s="182">
        <v>188</v>
      </c>
      <c r="F315" s="233">
        <f t="shared" si="4"/>
        <v>0</v>
      </c>
      <c r="G315" s="371"/>
      <c r="H315" s="448"/>
      <c r="I315" s="64"/>
      <c r="J315" s="58"/>
      <c r="K315" s="58"/>
      <c r="L315" s="64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</row>
    <row r="316" spans="1:68" ht="25.25" customHeight="1">
      <c r="A316" s="667"/>
      <c r="B316" s="82" t="s">
        <v>31</v>
      </c>
      <c r="C316" s="272" t="s">
        <v>15</v>
      </c>
      <c r="D316" s="58">
        <v>270</v>
      </c>
      <c r="E316" s="182">
        <v>188</v>
      </c>
      <c r="F316" s="233">
        <f t="shared" si="4"/>
        <v>0</v>
      </c>
      <c r="G316" s="371"/>
      <c r="H316" s="448"/>
      <c r="I316" s="64"/>
      <c r="J316" s="58"/>
      <c r="K316" s="58"/>
      <c r="L316" s="64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</row>
    <row r="317" spans="1:68" ht="25.25" customHeight="1">
      <c r="A317" s="667"/>
      <c r="B317" s="82" t="s">
        <v>32</v>
      </c>
      <c r="C317" s="272" t="s">
        <v>15</v>
      </c>
      <c r="D317" s="58">
        <v>270</v>
      </c>
      <c r="E317" s="182">
        <v>188</v>
      </c>
      <c r="F317" s="233">
        <f t="shared" si="4"/>
        <v>0</v>
      </c>
      <c r="G317" s="371"/>
      <c r="H317" s="448"/>
      <c r="I317" s="64"/>
      <c r="J317" s="58"/>
      <c r="K317" s="58"/>
      <c r="L317" s="64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</row>
    <row r="318" spans="1:68" ht="25.25" customHeight="1">
      <c r="A318" s="667"/>
      <c r="B318" s="82" t="s">
        <v>102</v>
      </c>
      <c r="C318" s="272" t="s">
        <v>15</v>
      </c>
      <c r="D318" s="58">
        <v>270</v>
      </c>
      <c r="E318" s="182">
        <v>188</v>
      </c>
      <c r="F318" s="233">
        <f t="shared" si="4"/>
        <v>0</v>
      </c>
      <c r="G318" s="371"/>
      <c r="H318" s="448"/>
      <c r="I318" s="64"/>
      <c r="J318" s="58"/>
      <c r="K318" s="58"/>
      <c r="L318" s="64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</row>
    <row r="319" spans="1:68" ht="25.25" customHeight="1">
      <c r="A319" s="667"/>
      <c r="B319" s="82" t="s">
        <v>103</v>
      </c>
      <c r="C319" s="272" t="s">
        <v>15</v>
      </c>
      <c r="D319" s="58">
        <v>270</v>
      </c>
      <c r="E319" s="182">
        <v>188</v>
      </c>
      <c r="F319" s="233">
        <f t="shared" si="4"/>
        <v>0</v>
      </c>
      <c r="G319" s="371"/>
      <c r="H319" s="448"/>
      <c r="I319" s="64"/>
      <c r="J319" s="58"/>
      <c r="K319" s="58"/>
      <c r="L319" s="64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</row>
    <row r="320" spans="1:68" ht="25.25" customHeight="1">
      <c r="A320" s="667"/>
      <c r="B320" s="82" t="s">
        <v>104</v>
      </c>
      <c r="C320" s="272" t="s">
        <v>15</v>
      </c>
      <c r="D320" s="58">
        <v>270</v>
      </c>
      <c r="E320" s="182">
        <v>188</v>
      </c>
      <c r="F320" s="233">
        <f t="shared" si="4"/>
        <v>0</v>
      </c>
      <c r="G320" s="371"/>
      <c r="H320" s="448"/>
      <c r="I320" s="64"/>
      <c r="J320" s="58"/>
      <c r="K320" s="58"/>
      <c r="L320" s="64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</row>
    <row r="321" spans="1:68" ht="25.25" customHeight="1">
      <c r="A321" s="667"/>
      <c r="B321" s="82" t="s">
        <v>257</v>
      </c>
      <c r="C321" s="272" t="s">
        <v>15</v>
      </c>
      <c r="D321" s="58">
        <v>270</v>
      </c>
      <c r="E321" s="182">
        <v>188</v>
      </c>
      <c r="F321" s="233">
        <f t="shared" si="4"/>
        <v>0</v>
      </c>
      <c r="G321" s="371"/>
      <c r="H321" s="448"/>
      <c r="I321" s="64"/>
      <c r="J321" s="58"/>
      <c r="K321" s="58"/>
      <c r="L321" s="64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</row>
    <row r="322" spans="1:68" ht="25.25" customHeight="1">
      <c r="A322" s="667"/>
      <c r="B322" s="82" t="s">
        <v>258</v>
      </c>
      <c r="C322" s="272" t="s">
        <v>15</v>
      </c>
      <c r="D322" s="58">
        <v>270</v>
      </c>
      <c r="E322" s="182">
        <v>188</v>
      </c>
      <c r="F322" s="233">
        <f t="shared" si="4"/>
        <v>0</v>
      </c>
      <c r="G322" s="371"/>
      <c r="H322" s="448"/>
      <c r="I322" s="64"/>
      <c r="J322" s="58"/>
      <c r="K322" s="58"/>
      <c r="L322" s="64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</row>
    <row r="323" spans="1:68" ht="25.25" customHeight="1">
      <c r="A323" s="667"/>
      <c r="B323" s="82" t="s">
        <v>259</v>
      </c>
      <c r="C323" s="272" t="s">
        <v>15</v>
      </c>
      <c r="D323" s="58">
        <v>270</v>
      </c>
      <c r="E323" s="182">
        <v>188</v>
      </c>
      <c r="F323" s="233">
        <f t="shared" si="4"/>
        <v>0</v>
      </c>
      <c r="G323" s="371"/>
      <c r="H323" s="448"/>
      <c r="I323" s="64"/>
      <c r="J323" s="58"/>
      <c r="K323" s="58"/>
      <c r="L323" s="64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</row>
    <row r="324" spans="1:68" ht="25.25" customHeight="1">
      <c r="A324" s="667"/>
      <c r="B324" s="146" t="s">
        <v>249</v>
      </c>
      <c r="C324" s="272" t="s">
        <v>16</v>
      </c>
      <c r="D324" s="58">
        <v>280</v>
      </c>
      <c r="E324" s="182">
        <v>198</v>
      </c>
      <c r="F324" s="233">
        <f t="shared" si="4"/>
        <v>0</v>
      </c>
      <c r="G324" s="371"/>
      <c r="H324" s="448"/>
      <c r="I324" s="64"/>
      <c r="J324" s="58"/>
      <c r="K324" s="58"/>
      <c r="L324" s="64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</row>
    <row r="325" spans="1:68" ht="25.25" customHeight="1">
      <c r="A325" s="667"/>
      <c r="B325" s="82" t="s">
        <v>250</v>
      </c>
      <c r="C325" s="272" t="s">
        <v>16</v>
      </c>
      <c r="D325" s="58">
        <v>280</v>
      </c>
      <c r="E325" s="182">
        <v>198</v>
      </c>
      <c r="F325" s="233">
        <f t="shared" ref="F325:F388" si="5">SUM(I325:BP325)</f>
        <v>0</v>
      </c>
      <c r="G325" s="371"/>
      <c r="H325" s="448"/>
      <c r="I325" s="64"/>
      <c r="J325" s="58"/>
      <c r="K325" s="58"/>
      <c r="L325" s="64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</row>
    <row r="326" spans="1:68" ht="25.25" customHeight="1">
      <c r="A326" s="667"/>
      <c r="B326" s="82" t="s">
        <v>251</v>
      </c>
      <c r="C326" s="272" t="s">
        <v>16</v>
      </c>
      <c r="D326" s="58">
        <v>280</v>
      </c>
      <c r="E326" s="182">
        <v>198</v>
      </c>
      <c r="F326" s="233">
        <f t="shared" si="5"/>
        <v>0</v>
      </c>
      <c r="G326" s="371"/>
      <c r="H326" s="448"/>
      <c r="I326" s="64"/>
      <c r="J326" s="58"/>
      <c r="K326" s="58"/>
      <c r="L326" s="64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</row>
    <row r="327" spans="1:68" ht="25.25" customHeight="1">
      <c r="A327" s="667"/>
      <c r="B327" s="82" t="s">
        <v>201</v>
      </c>
      <c r="C327" s="272" t="s">
        <v>16</v>
      </c>
      <c r="D327" s="58">
        <v>280</v>
      </c>
      <c r="E327" s="182">
        <v>198</v>
      </c>
      <c r="F327" s="233">
        <f t="shared" si="5"/>
        <v>0</v>
      </c>
      <c r="G327" s="371"/>
      <c r="H327" s="448"/>
      <c r="I327" s="64"/>
      <c r="J327" s="58"/>
      <c r="K327" s="58"/>
      <c r="L327" s="64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</row>
    <row r="328" spans="1:68" ht="25.25" customHeight="1">
      <c r="A328" s="667"/>
      <c r="B328" s="82" t="s">
        <v>202</v>
      </c>
      <c r="C328" s="272" t="s">
        <v>12</v>
      </c>
      <c r="D328" s="58">
        <v>280</v>
      </c>
      <c r="E328" s="182">
        <v>198</v>
      </c>
      <c r="F328" s="233">
        <f t="shared" si="5"/>
        <v>0</v>
      </c>
      <c r="G328" s="371"/>
      <c r="H328" s="448"/>
      <c r="I328" s="64"/>
      <c r="J328" s="58"/>
      <c r="K328" s="58"/>
      <c r="L328" s="64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</row>
    <row r="329" spans="1:68" ht="25.25" customHeight="1">
      <c r="A329" s="667"/>
      <c r="B329" s="82" t="s">
        <v>428</v>
      </c>
      <c r="C329" s="272" t="s">
        <v>12</v>
      </c>
      <c r="D329" s="58">
        <v>280</v>
      </c>
      <c r="E329" s="182">
        <v>198</v>
      </c>
      <c r="F329" s="233">
        <f t="shared" si="5"/>
        <v>0</v>
      </c>
      <c r="G329" s="371"/>
      <c r="H329" s="448"/>
      <c r="I329" s="64"/>
      <c r="J329" s="58"/>
      <c r="K329" s="58"/>
      <c r="L329" s="64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</row>
    <row r="330" spans="1:68" ht="25.25" customHeight="1">
      <c r="A330" s="667"/>
      <c r="B330" s="82" t="s">
        <v>35</v>
      </c>
      <c r="C330" s="272" t="s">
        <v>15</v>
      </c>
      <c r="D330" s="58">
        <v>125</v>
      </c>
      <c r="E330" s="182">
        <v>85</v>
      </c>
      <c r="F330" s="233">
        <f t="shared" si="5"/>
        <v>0</v>
      </c>
      <c r="G330" s="371"/>
      <c r="H330" s="448"/>
      <c r="I330" s="64"/>
      <c r="J330" s="58"/>
      <c r="K330" s="58"/>
      <c r="L330" s="64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</row>
    <row r="331" spans="1:68" ht="25.25" customHeight="1">
      <c r="A331" s="667"/>
      <c r="B331" s="82" t="s">
        <v>36</v>
      </c>
      <c r="C331" s="272" t="s">
        <v>15</v>
      </c>
      <c r="D331" s="58">
        <v>125</v>
      </c>
      <c r="E331" s="182">
        <v>85</v>
      </c>
      <c r="F331" s="233">
        <f t="shared" si="5"/>
        <v>0</v>
      </c>
      <c r="G331" s="371"/>
      <c r="H331" s="448"/>
      <c r="I331" s="64"/>
      <c r="J331" s="58"/>
      <c r="K331" s="58"/>
      <c r="L331" s="64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</row>
    <row r="332" spans="1:68" ht="25.25" customHeight="1">
      <c r="A332" s="667"/>
      <c r="B332" s="82" t="s">
        <v>105</v>
      </c>
      <c r="C332" s="272" t="s">
        <v>15</v>
      </c>
      <c r="D332" s="58">
        <v>130</v>
      </c>
      <c r="E332" s="182">
        <v>95</v>
      </c>
      <c r="F332" s="233">
        <f t="shared" si="5"/>
        <v>0</v>
      </c>
      <c r="G332" s="371"/>
      <c r="H332" s="448"/>
      <c r="I332" s="64"/>
      <c r="J332" s="58"/>
      <c r="K332" s="58"/>
      <c r="L332" s="64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</row>
    <row r="333" spans="1:68" ht="25.25" customHeight="1">
      <c r="A333" s="667"/>
      <c r="B333" s="82" t="s">
        <v>106</v>
      </c>
      <c r="C333" s="272" t="s">
        <v>15</v>
      </c>
      <c r="D333" s="58">
        <v>130</v>
      </c>
      <c r="E333" s="182">
        <v>95</v>
      </c>
      <c r="F333" s="233">
        <f t="shared" si="5"/>
        <v>0</v>
      </c>
      <c r="G333" s="371"/>
      <c r="H333" s="448"/>
      <c r="I333" s="64"/>
      <c r="J333" s="58"/>
      <c r="K333" s="58"/>
      <c r="L333" s="64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</row>
    <row r="334" spans="1:68" ht="25.25" customHeight="1">
      <c r="A334" s="667"/>
      <c r="B334" s="82" t="s">
        <v>107</v>
      </c>
      <c r="C334" s="272" t="s">
        <v>15</v>
      </c>
      <c r="D334" s="58">
        <v>130</v>
      </c>
      <c r="E334" s="182">
        <v>95</v>
      </c>
      <c r="F334" s="233">
        <f t="shared" si="5"/>
        <v>0</v>
      </c>
      <c r="G334" s="371"/>
      <c r="H334" s="448"/>
      <c r="I334" s="64"/>
      <c r="J334" s="58"/>
      <c r="K334" s="58"/>
      <c r="L334" s="64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</row>
    <row r="335" spans="1:68" ht="25.25" customHeight="1">
      <c r="A335" s="667"/>
      <c r="B335" s="82" t="s">
        <v>346</v>
      </c>
      <c r="C335" s="272" t="s">
        <v>15</v>
      </c>
      <c r="D335" s="58">
        <v>130</v>
      </c>
      <c r="E335" s="182">
        <v>95</v>
      </c>
      <c r="F335" s="233">
        <f t="shared" si="5"/>
        <v>0</v>
      </c>
      <c r="G335" s="385"/>
      <c r="H335" s="448"/>
      <c r="I335" s="64"/>
      <c r="J335" s="58"/>
      <c r="K335" s="58"/>
      <c r="L335" s="64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</row>
    <row r="336" spans="1:68" ht="25.25" customHeight="1">
      <c r="A336" s="667"/>
      <c r="B336" s="82" t="s">
        <v>347</v>
      </c>
      <c r="C336" s="272" t="s">
        <v>15</v>
      </c>
      <c r="D336" s="58">
        <v>130</v>
      </c>
      <c r="E336" s="182">
        <v>95</v>
      </c>
      <c r="F336" s="233">
        <f t="shared" si="5"/>
        <v>0</v>
      </c>
      <c r="G336" s="385"/>
      <c r="H336" s="448"/>
      <c r="I336" s="64"/>
      <c r="J336" s="58"/>
      <c r="K336" s="58"/>
      <c r="L336" s="64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</row>
    <row r="337" spans="1:68" ht="25.25" customHeight="1">
      <c r="A337" s="667"/>
      <c r="B337" s="82" t="s">
        <v>348</v>
      </c>
      <c r="C337" s="272" t="s">
        <v>15</v>
      </c>
      <c r="D337" s="58">
        <v>130</v>
      </c>
      <c r="E337" s="182">
        <v>95</v>
      </c>
      <c r="F337" s="233">
        <f t="shared" si="5"/>
        <v>0</v>
      </c>
      <c r="G337" s="385"/>
      <c r="H337" s="448"/>
      <c r="I337" s="64"/>
      <c r="J337" s="58"/>
      <c r="K337" s="58"/>
      <c r="L337" s="64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</row>
    <row r="338" spans="1:68" ht="25.25" customHeight="1">
      <c r="A338" s="667"/>
      <c r="B338" s="82" t="s">
        <v>37</v>
      </c>
      <c r="C338" s="272" t="s">
        <v>38</v>
      </c>
      <c r="D338" s="58">
        <v>300</v>
      </c>
      <c r="E338" s="182">
        <v>250</v>
      </c>
      <c r="F338" s="233">
        <f t="shared" si="5"/>
        <v>0</v>
      </c>
      <c r="G338" s="459" t="s">
        <v>575</v>
      </c>
      <c r="H338" s="448"/>
      <c r="I338" s="64"/>
      <c r="J338" s="58"/>
      <c r="K338" s="58"/>
      <c r="L338" s="64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</row>
    <row r="339" spans="1:68" ht="25.25" customHeight="1" thickBot="1">
      <c r="A339" s="668"/>
      <c r="B339" s="79"/>
      <c r="C339" s="282"/>
      <c r="D339" s="100"/>
      <c r="E339" s="54"/>
      <c r="F339" s="234">
        <f t="shared" si="5"/>
        <v>0</v>
      </c>
      <c r="G339" s="497"/>
      <c r="H339" s="448"/>
      <c r="I339" s="64"/>
      <c r="J339" s="58"/>
      <c r="K339" s="58"/>
      <c r="L339" s="64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</row>
    <row r="340" spans="1:68" ht="33" customHeight="1">
      <c r="A340" s="650" t="s">
        <v>560</v>
      </c>
      <c r="B340" s="83" t="s">
        <v>466</v>
      </c>
      <c r="C340" s="286" t="s">
        <v>263</v>
      </c>
      <c r="D340" s="184">
        <v>199</v>
      </c>
      <c r="E340" s="55">
        <v>120</v>
      </c>
      <c r="F340" s="140">
        <f t="shared" si="5"/>
        <v>0</v>
      </c>
      <c r="G340" s="222"/>
      <c r="H340" s="448"/>
      <c r="I340" s="64"/>
      <c r="J340" s="58"/>
      <c r="K340" s="58"/>
      <c r="L340" s="64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</row>
    <row r="341" spans="1:68" ht="33" customHeight="1">
      <c r="A341" s="650"/>
      <c r="B341" s="83" t="s">
        <v>467</v>
      </c>
      <c r="C341" s="286" t="s">
        <v>395</v>
      </c>
      <c r="D341" s="184">
        <v>350</v>
      </c>
      <c r="E341" s="55">
        <v>320</v>
      </c>
      <c r="F341" s="140">
        <f t="shared" si="5"/>
        <v>0</v>
      </c>
      <c r="G341" s="414"/>
      <c r="H341" s="448"/>
      <c r="I341" s="64"/>
      <c r="J341" s="58"/>
      <c r="K341" s="58"/>
      <c r="L341" s="64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</row>
    <row r="342" spans="1:68" ht="30" customHeight="1">
      <c r="A342" s="650"/>
      <c r="B342" s="402" t="s">
        <v>465</v>
      </c>
      <c r="C342" s="362" t="s">
        <v>395</v>
      </c>
      <c r="D342" s="101">
        <v>150</v>
      </c>
      <c r="E342" s="87">
        <v>145</v>
      </c>
      <c r="F342" s="207">
        <f t="shared" si="5"/>
        <v>0</v>
      </c>
      <c r="G342" s="348" t="s">
        <v>522</v>
      </c>
      <c r="H342" s="448"/>
      <c r="I342" s="64"/>
      <c r="J342" s="58"/>
      <c r="K342" s="58"/>
      <c r="L342" s="64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</row>
    <row r="343" spans="1:68" ht="35.4" customHeight="1">
      <c r="A343" s="650"/>
      <c r="B343" s="115" t="s">
        <v>264</v>
      </c>
      <c r="C343" s="286" t="s">
        <v>14</v>
      </c>
      <c r="D343" s="184">
        <v>150</v>
      </c>
      <c r="E343" s="55">
        <v>125</v>
      </c>
      <c r="F343" s="140">
        <f t="shared" si="5"/>
        <v>0</v>
      </c>
      <c r="G343" s="195" t="s">
        <v>521</v>
      </c>
      <c r="H343" s="448"/>
      <c r="I343" s="64"/>
      <c r="J343" s="58"/>
      <c r="K343" s="58"/>
      <c r="L343" s="64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</row>
    <row r="344" spans="1:68" ht="28.75" customHeight="1">
      <c r="A344" s="650"/>
      <c r="B344" s="115" t="s">
        <v>265</v>
      </c>
      <c r="C344" s="286" t="s">
        <v>14</v>
      </c>
      <c r="D344" s="184">
        <v>150</v>
      </c>
      <c r="E344" s="55">
        <v>125</v>
      </c>
      <c r="F344" s="140">
        <f t="shared" si="5"/>
        <v>0</v>
      </c>
      <c r="G344" s="195" t="s">
        <v>521</v>
      </c>
      <c r="H344" s="448"/>
      <c r="I344" s="64"/>
      <c r="J344" s="58"/>
      <c r="K344" s="58"/>
      <c r="L344" s="64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</row>
    <row r="345" spans="1:68" ht="28.75" customHeight="1">
      <c r="A345" s="650"/>
      <c r="B345" s="115" t="s">
        <v>266</v>
      </c>
      <c r="C345" s="286" t="s">
        <v>14</v>
      </c>
      <c r="D345" s="184">
        <v>150</v>
      </c>
      <c r="E345" s="55">
        <v>125</v>
      </c>
      <c r="F345" s="140">
        <f t="shared" si="5"/>
        <v>0</v>
      </c>
      <c r="G345" s="195" t="s">
        <v>521</v>
      </c>
      <c r="H345" s="448"/>
      <c r="I345" s="64"/>
      <c r="J345" s="58"/>
      <c r="K345" s="58"/>
      <c r="L345" s="64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</row>
    <row r="346" spans="1:68" ht="30" customHeight="1">
      <c r="A346" s="650"/>
      <c r="B346" s="115" t="s">
        <v>267</v>
      </c>
      <c r="C346" s="286" t="s">
        <v>14</v>
      </c>
      <c r="D346" s="184">
        <v>150</v>
      </c>
      <c r="E346" s="55">
        <v>125</v>
      </c>
      <c r="F346" s="140">
        <f t="shared" si="5"/>
        <v>0</v>
      </c>
      <c r="G346" s="195" t="s">
        <v>521</v>
      </c>
      <c r="H346" s="448"/>
      <c r="I346" s="64"/>
      <c r="J346" s="58"/>
      <c r="K346" s="58"/>
      <c r="L346" s="64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</row>
    <row r="347" spans="1:68" ht="25.25" customHeight="1">
      <c r="A347" s="650"/>
      <c r="B347" s="204" t="s">
        <v>562</v>
      </c>
      <c r="C347" s="285" t="s">
        <v>14</v>
      </c>
      <c r="D347" s="88">
        <v>320</v>
      </c>
      <c r="E347" s="87">
        <v>250</v>
      </c>
      <c r="F347" s="207">
        <f t="shared" si="5"/>
        <v>0</v>
      </c>
      <c r="G347" s="403" t="s">
        <v>538</v>
      </c>
      <c r="H347" s="448"/>
      <c r="I347" s="64"/>
      <c r="J347" s="58"/>
      <c r="K347" s="58"/>
      <c r="L347" s="64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</row>
    <row r="348" spans="1:68" ht="25.25" customHeight="1">
      <c r="A348" s="650"/>
      <c r="B348" s="204" t="s">
        <v>563</v>
      </c>
      <c r="C348" s="285" t="s">
        <v>14</v>
      </c>
      <c r="D348" s="88">
        <v>320</v>
      </c>
      <c r="E348" s="87">
        <v>250</v>
      </c>
      <c r="F348" s="207">
        <f t="shared" si="5"/>
        <v>0</v>
      </c>
      <c r="G348" s="225" t="s">
        <v>538</v>
      </c>
      <c r="H348" s="448"/>
      <c r="I348" s="64"/>
      <c r="J348" s="58"/>
      <c r="K348" s="58"/>
      <c r="L348" s="64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</row>
    <row r="349" spans="1:68" ht="25.25" customHeight="1">
      <c r="A349" s="650"/>
      <c r="B349" s="204" t="s">
        <v>564</v>
      </c>
      <c r="C349" s="285" t="s">
        <v>14</v>
      </c>
      <c r="D349" s="88">
        <v>320</v>
      </c>
      <c r="E349" s="87">
        <v>250</v>
      </c>
      <c r="F349" s="207">
        <f t="shared" si="5"/>
        <v>0</v>
      </c>
      <c r="G349" s="225" t="s">
        <v>538</v>
      </c>
      <c r="H349" s="448"/>
      <c r="I349" s="64"/>
      <c r="J349" s="58"/>
      <c r="K349" s="58"/>
      <c r="L349" s="64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</row>
    <row r="350" spans="1:68" ht="25.25" customHeight="1">
      <c r="A350" s="650"/>
      <c r="B350" s="204" t="s">
        <v>565</v>
      </c>
      <c r="C350" s="285" t="s">
        <v>14</v>
      </c>
      <c r="D350" s="88">
        <v>320</v>
      </c>
      <c r="E350" s="87">
        <v>250</v>
      </c>
      <c r="F350" s="207">
        <f t="shared" si="5"/>
        <v>0</v>
      </c>
      <c r="G350" s="225" t="s">
        <v>538</v>
      </c>
      <c r="H350" s="448"/>
      <c r="I350" s="64"/>
      <c r="J350" s="58"/>
      <c r="K350" s="58"/>
      <c r="L350" s="64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</row>
    <row r="351" spans="1:68" ht="25.25" customHeight="1">
      <c r="A351" s="650"/>
      <c r="B351" s="204" t="s">
        <v>566</v>
      </c>
      <c r="C351" s="285" t="s">
        <v>14</v>
      </c>
      <c r="D351" s="88">
        <v>320</v>
      </c>
      <c r="E351" s="87">
        <v>250</v>
      </c>
      <c r="F351" s="207">
        <f t="shared" si="5"/>
        <v>0</v>
      </c>
      <c r="G351" s="225" t="s">
        <v>538</v>
      </c>
      <c r="H351" s="448"/>
      <c r="I351" s="64"/>
      <c r="J351" s="58"/>
      <c r="K351" s="58"/>
      <c r="L351" s="64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</row>
    <row r="352" spans="1:68" ht="25.25" customHeight="1">
      <c r="A352" s="650"/>
      <c r="B352" s="204" t="s">
        <v>567</v>
      </c>
      <c r="C352" s="285" t="s">
        <v>14</v>
      </c>
      <c r="D352" s="88">
        <v>320</v>
      </c>
      <c r="E352" s="87">
        <v>250</v>
      </c>
      <c r="F352" s="207">
        <f t="shared" si="5"/>
        <v>0</v>
      </c>
      <c r="G352" s="225" t="s">
        <v>538</v>
      </c>
      <c r="H352" s="448"/>
      <c r="I352" s="64"/>
      <c r="J352" s="58"/>
      <c r="K352" s="58"/>
      <c r="L352" s="64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</row>
    <row r="353" spans="1:68" ht="31.25" customHeight="1" thickBot="1">
      <c r="A353" s="651"/>
      <c r="B353" s="79"/>
      <c r="C353" s="282"/>
      <c r="D353" s="100"/>
      <c r="E353" s="54"/>
      <c r="F353" s="141">
        <f t="shared" si="5"/>
        <v>0</v>
      </c>
      <c r="G353" s="169"/>
      <c r="H353" s="448"/>
      <c r="I353" s="64"/>
      <c r="J353" s="58"/>
      <c r="K353" s="58"/>
      <c r="L353" s="64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</row>
    <row r="354" spans="1:68" ht="36" customHeight="1">
      <c r="A354" s="652" t="s">
        <v>514</v>
      </c>
      <c r="B354" s="361" t="s">
        <v>412</v>
      </c>
      <c r="C354" s="269" t="s">
        <v>165</v>
      </c>
      <c r="D354" s="91">
        <v>175</v>
      </c>
      <c r="E354" s="90">
        <v>150</v>
      </c>
      <c r="F354" s="179">
        <f t="shared" si="5"/>
        <v>0</v>
      </c>
      <c r="G354" s="348" t="s">
        <v>161</v>
      </c>
      <c r="H354" s="448"/>
      <c r="I354" s="64"/>
      <c r="J354" s="58"/>
      <c r="K354" s="58"/>
      <c r="L354" s="64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</row>
    <row r="355" spans="1:68" ht="25.25" customHeight="1">
      <c r="A355" s="652"/>
      <c r="B355" s="82" t="s">
        <v>188</v>
      </c>
      <c r="C355" s="275" t="s">
        <v>189</v>
      </c>
      <c r="D355" s="58">
        <v>220</v>
      </c>
      <c r="E355" s="182">
        <v>190</v>
      </c>
      <c r="F355" s="138">
        <f t="shared" si="5"/>
        <v>0</v>
      </c>
      <c r="G355" s="584"/>
      <c r="H355" s="448"/>
      <c r="I355" s="64"/>
      <c r="J355" s="58"/>
      <c r="K355" s="58"/>
      <c r="L355" s="64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</row>
    <row r="356" spans="1:68" ht="25.25" customHeight="1">
      <c r="A356" s="652"/>
      <c r="B356" s="82" t="s">
        <v>7</v>
      </c>
      <c r="C356" s="275" t="s">
        <v>189</v>
      </c>
      <c r="D356" s="58">
        <v>220</v>
      </c>
      <c r="E356" s="182">
        <v>190</v>
      </c>
      <c r="F356" s="138">
        <f t="shared" si="5"/>
        <v>0</v>
      </c>
      <c r="G356" s="585"/>
      <c r="H356" s="448"/>
      <c r="I356" s="64"/>
      <c r="J356" s="58"/>
      <c r="K356" s="58"/>
      <c r="L356" s="64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</row>
    <row r="357" spans="1:68" ht="25.25" customHeight="1">
      <c r="A357" s="652"/>
      <c r="B357" s="82" t="s">
        <v>219</v>
      </c>
      <c r="C357" s="275" t="s">
        <v>189</v>
      </c>
      <c r="D357" s="58">
        <v>220</v>
      </c>
      <c r="E357" s="182">
        <v>190</v>
      </c>
      <c r="F357" s="138">
        <f t="shared" si="5"/>
        <v>0</v>
      </c>
      <c r="G357" s="586"/>
      <c r="H357" s="448"/>
      <c r="I357" s="64"/>
      <c r="J357" s="58"/>
      <c r="K357" s="58"/>
      <c r="L357" s="64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</row>
    <row r="358" spans="1:68" ht="25.25" customHeight="1">
      <c r="A358" s="652"/>
      <c r="B358" s="82" t="s">
        <v>8</v>
      </c>
      <c r="C358" s="275" t="s">
        <v>189</v>
      </c>
      <c r="D358" s="58">
        <v>220</v>
      </c>
      <c r="E358" s="182">
        <v>190</v>
      </c>
      <c r="F358" s="138">
        <f t="shared" si="5"/>
        <v>0</v>
      </c>
      <c r="G358" s="385"/>
      <c r="H358" s="448"/>
      <c r="I358" s="64"/>
      <c r="J358" s="58"/>
      <c r="K358" s="58"/>
      <c r="L358" s="64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</row>
    <row r="359" spans="1:68" ht="25.25" customHeight="1">
      <c r="A359" s="652"/>
      <c r="B359" s="82" t="s">
        <v>108</v>
      </c>
      <c r="C359" s="275" t="s">
        <v>189</v>
      </c>
      <c r="D359" s="58">
        <v>125</v>
      </c>
      <c r="E359" s="182">
        <v>90</v>
      </c>
      <c r="F359" s="138">
        <f t="shared" si="5"/>
        <v>0</v>
      </c>
      <c r="G359" s="170"/>
      <c r="H359" s="448"/>
      <c r="I359" s="64"/>
      <c r="J359" s="58"/>
      <c r="K359" s="58"/>
      <c r="L359" s="64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</row>
    <row r="360" spans="1:68" ht="25.25" customHeight="1">
      <c r="A360" s="652"/>
      <c r="B360" s="82" t="s">
        <v>109</v>
      </c>
      <c r="C360" s="275" t="s">
        <v>189</v>
      </c>
      <c r="D360" s="58">
        <v>125</v>
      </c>
      <c r="E360" s="182">
        <v>90</v>
      </c>
      <c r="F360" s="138">
        <f t="shared" si="5"/>
        <v>0</v>
      </c>
      <c r="G360" s="170"/>
      <c r="H360" s="448"/>
      <c r="I360" s="64"/>
      <c r="J360" s="58"/>
      <c r="K360" s="58"/>
      <c r="L360" s="64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</row>
    <row r="361" spans="1:68" ht="25.25" customHeight="1">
      <c r="A361" s="652"/>
      <c r="B361" s="83" t="s">
        <v>110</v>
      </c>
      <c r="C361" s="275" t="s">
        <v>189</v>
      </c>
      <c r="D361" s="184">
        <v>150</v>
      </c>
      <c r="E361" s="55">
        <v>100</v>
      </c>
      <c r="F361" s="140">
        <f t="shared" si="5"/>
        <v>0</v>
      </c>
      <c r="G361" s="170"/>
      <c r="H361" s="448"/>
      <c r="I361" s="64"/>
      <c r="J361" s="58"/>
      <c r="K361" s="58"/>
      <c r="L361" s="64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</row>
    <row r="362" spans="1:68" ht="25.25" customHeight="1" thickBot="1">
      <c r="A362" s="653"/>
      <c r="B362" s="79"/>
      <c r="C362" s="267"/>
      <c r="D362" s="100"/>
      <c r="E362" s="54"/>
      <c r="F362" s="141">
        <f t="shared" si="5"/>
        <v>0</v>
      </c>
      <c r="G362" s="216"/>
      <c r="H362" s="448"/>
      <c r="I362" s="64"/>
      <c r="J362" s="58"/>
      <c r="K362" s="58"/>
      <c r="L362" s="64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</row>
    <row r="363" spans="1:68" ht="27.65" customHeight="1">
      <c r="A363" s="701" t="s">
        <v>39</v>
      </c>
      <c r="B363" s="110" t="s">
        <v>345</v>
      </c>
      <c r="C363" s="268" t="s">
        <v>175</v>
      </c>
      <c r="D363" s="102">
        <v>450</v>
      </c>
      <c r="E363" s="56">
        <v>330</v>
      </c>
      <c r="F363" s="137">
        <f t="shared" si="5"/>
        <v>0</v>
      </c>
      <c r="G363" s="226"/>
      <c r="H363" s="448"/>
      <c r="I363" s="64"/>
      <c r="J363" s="58"/>
      <c r="K363" s="58"/>
      <c r="L363" s="64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</row>
    <row r="364" spans="1:68" ht="32.4" customHeight="1">
      <c r="A364" s="702"/>
      <c r="B364" s="132" t="s">
        <v>461</v>
      </c>
      <c r="C364" s="269" t="s">
        <v>175</v>
      </c>
      <c r="D364" s="112">
        <v>2700</v>
      </c>
      <c r="E364" s="113">
        <v>2100</v>
      </c>
      <c r="F364" s="228">
        <f t="shared" si="5"/>
        <v>0</v>
      </c>
      <c r="G364" s="217" t="s">
        <v>507</v>
      </c>
      <c r="H364" s="448"/>
      <c r="I364" s="64"/>
      <c r="J364" s="58"/>
      <c r="K364" s="58"/>
      <c r="L364" s="64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</row>
    <row r="365" spans="1:68" ht="29.4" customHeight="1">
      <c r="A365" s="702"/>
      <c r="B365" s="131" t="s">
        <v>135</v>
      </c>
      <c r="C365" s="270" t="s">
        <v>134</v>
      </c>
      <c r="D365" s="181">
        <v>380</v>
      </c>
      <c r="E365" s="183">
        <v>280</v>
      </c>
      <c r="F365" s="227">
        <f t="shared" si="5"/>
        <v>0</v>
      </c>
      <c r="G365" s="168"/>
      <c r="H365" s="448"/>
      <c r="I365" s="64"/>
      <c r="J365" s="58"/>
      <c r="K365" s="58"/>
      <c r="L365" s="64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</row>
    <row r="366" spans="1:68" ht="33" customHeight="1">
      <c r="A366" s="702"/>
      <c r="B366" s="200" t="s">
        <v>116</v>
      </c>
      <c r="C366" s="499" t="s">
        <v>28</v>
      </c>
      <c r="D366" s="112">
        <v>530</v>
      </c>
      <c r="E366" s="201">
        <v>430</v>
      </c>
      <c r="F366" s="228">
        <f t="shared" si="5"/>
        <v>0</v>
      </c>
      <c r="G366" s="217" t="s">
        <v>496</v>
      </c>
      <c r="H366" s="448"/>
      <c r="I366" s="64"/>
      <c r="J366" s="58"/>
      <c r="K366" s="58"/>
      <c r="L366" s="64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</row>
    <row r="367" spans="1:68" ht="30.65" customHeight="1">
      <c r="A367" s="702"/>
      <c r="B367" s="482" t="s">
        <v>253</v>
      </c>
      <c r="C367" s="291" t="s">
        <v>28</v>
      </c>
      <c r="D367" s="112">
        <v>580</v>
      </c>
      <c r="E367" s="201">
        <v>480</v>
      </c>
      <c r="F367" s="228">
        <f t="shared" si="5"/>
        <v>0</v>
      </c>
      <c r="G367" s="579" t="s">
        <v>758</v>
      </c>
      <c r="H367" s="448"/>
      <c r="I367" s="64"/>
      <c r="J367" s="58"/>
      <c r="K367" s="58"/>
      <c r="L367" s="64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</row>
    <row r="368" spans="1:68" ht="27.65" customHeight="1">
      <c r="A368" s="702"/>
      <c r="B368" s="368" t="s">
        <v>115</v>
      </c>
      <c r="C368" s="363" t="s">
        <v>28</v>
      </c>
      <c r="D368" s="364">
        <v>350</v>
      </c>
      <c r="E368" s="365">
        <v>350</v>
      </c>
      <c r="F368" s="366">
        <f t="shared" si="5"/>
        <v>0</v>
      </c>
      <c r="G368" s="367" t="s">
        <v>179</v>
      </c>
      <c r="H368" s="448"/>
      <c r="I368" s="64"/>
      <c r="J368" s="58"/>
      <c r="K368" s="58"/>
      <c r="L368" s="64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</row>
    <row r="369" spans="1:68" ht="21" customHeight="1">
      <c r="A369" s="702"/>
      <c r="B369" s="94" t="s">
        <v>375</v>
      </c>
      <c r="C369" s="273" t="s">
        <v>29</v>
      </c>
      <c r="D369" s="176">
        <v>300</v>
      </c>
      <c r="E369" s="183">
        <v>165</v>
      </c>
      <c r="F369" s="245">
        <f t="shared" si="5"/>
        <v>0</v>
      </c>
      <c r="G369" s="221"/>
      <c r="H369" s="448"/>
      <c r="I369" s="64"/>
      <c r="J369" s="58"/>
      <c r="K369" s="58"/>
      <c r="L369" s="64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</row>
    <row r="370" spans="1:68" ht="25.25" customHeight="1">
      <c r="A370" s="702"/>
      <c r="B370" s="94" t="s">
        <v>376</v>
      </c>
      <c r="C370" s="273" t="s">
        <v>29</v>
      </c>
      <c r="D370" s="103">
        <v>300</v>
      </c>
      <c r="E370" s="95">
        <v>165</v>
      </c>
      <c r="F370" s="246">
        <f t="shared" si="5"/>
        <v>0</v>
      </c>
      <c r="G370" s="240"/>
      <c r="H370" s="448"/>
      <c r="I370" s="64"/>
      <c r="J370" s="58"/>
      <c r="K370" s="58"/>
      <c r="L370" s="64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</row>
    <row r="371" spans="1:68" ht="25.25" customHeight="1">
      <c r="A371" s="702"/>
      <c r="B371" s="94" t="s">
        <v>92</v>
      </c>
      <c r="C371" s="273" t="s">
        <v>29</v>
      </c>
      <c r="D371" s="103">
        <v>300</v>
      </c>
      <c r="E371" s="95">
        <v>165</v>
      </c>
      <c r="F371" s="246">
        <f t="shared" si="5"/>
        <v>0</v>
      </c>
      <c r="G371" s="240"/>
      <c r="H371" s="448"/>
      <c r="I371" s="64"/>
      <c r="J371" s="58"/>
      <c r="K371" s="58"/>
      <c r="L371" s="64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</row>
    <row r="372" spans="1:68" ht="25.25" customHeight="1">
      <c r="A372" s="702"/>
      <c r="B372" s="94" t="s">
        <v>93</v>
      </c>
      <c r="C372" s="273" t="s">
        <v>29</v>
      </c>
      <c r="D372" s="103">
        <v>300</v>
      </c>
      <c r="E372" s="95">
        <v>165</v>
      </c>
      <c r="F372" s="246">
        <f t="shared" si="5"/>
        <v>0</v>
      </c>
      <c r="G372" s="238"/>
      <c r="H372" s="448"/>
      <c r="I372" s="64"/>
      <c r="J372" s="58"/>
      <c r="K372" s="58"/>
      <c r="L372" s="64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</row>
    <row r="373" spans="1:68" ht="25.25" customHeight="1">
      <c r="A373" s="702"/>
      <c r="B373" s="84" t="s">
        <v>114</v>
      </c>
      <c r="C373" s="272" t="s">
        <v>29</v>
      </c>
      <c r="D373" s="181">
        <v>300</v>
      </c>
      <c r="E373" s="183">
        <v>165</v>
      </c>
      <c r="F373" s="227">
        <f t="shared" si="5"/>
        <v>0</v>
      </c>
      <c r="G373" s="241"/>
      <c r="H373" s="448"/>
      <c r="I373" s="64"/>
      <c r="J373" s="58"/>
      <c r="K373" s="58"/>
      <c r="L373" s="64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</row>
    <row r="374" spans="1:68" ht="25.25" customHeight="1">
      <c r="A374" s="702"/>
      <c r="B374" s="84" t="s">
        <v>113</v>
      </c>
      <c r="C374" s="272" t="s">
        <v>29</v>
      </c>
      <c r="D374" s="181">
        <v>300</v>
      </c>
      <c r="E374" s="183">
        <v>165</v>
      </c>
      <c r="F374" s="227">
        <f t="shared" si="5"/>
        <v>0</v>
      </c>
      <c r="G374" s="242"/>
      <c r="H374" s="448"/>
      <c r="I374" s="64"/>
      <c r="J374" s="58"/>
      <c r="K374" s="58"/>
      <c r="L374" s="64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</row>
    <row r="375" spans="1:68" ht="25.25" customHeight="1">
      <c r="A375" s="702"/>
      <c r="B375" s="84" t="s">
        <v>112</v>
      </c>
      <c r="C375" s="272" t="s">
        <v>29</v>
      </c>
      <c r="D375" s="181">
        <v>300</v>
      </c>
      <c r="E375" s="183">
        <v>165</v>
      </c>
      <c r="F375" s="227">
        <f t="shared" si="5"/>
        <v>0</v>
      </c>
      <c r="G375" s="242"/>
      <c r="H375" s="448"/>
      <c r="I375" s="64"/>
      <c r="J375" s="58"/>
      <c r="K375" s="58"/>
      <c r="L375" s="64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</row>
    <row r="376" spans="1:68" ht="25.25" customHeight="1">
      <c r="A376" s="702"/>
      <c r="B376" s="153" t="s">
        <v>190</v>
      </c>
      <c r="C376" s="499" t="s">
        <v>130</v>
      </c>
      <c r="D376" s="296">
        <v>400</v>
      </c>
      <c r="E376" s="113">
        <v>290</v>
      </c>
      <c r="F376" s="228">
        <f t="shared" si="5"/>
        <v>0</v>
      </c>
      <c r="G376" s="224"/>
      <c r="H376" s="448"/>
      <c r="I376" s="64"/>
      <c r="J376" s="58"/>
      <c r="K376" s="58"/>
      <c r="L376" s="64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</row>
    <row r="377" spans="1:68" ht="25.25" customHeight="1">
      <c r="A377" s="702"/>
      <c r="B377" s="153" t="s">
        <v>191</v>
      </c>
      <c r="C377" s="499" t="s">
        <v>129</v>
      </c>
      <c r="D377" s="296">
        <v>400</v>
      </c>
      <c r="E377" s="113">
        <v>290</v>
      </c>
      <c r="F377" s="228">
        <f t="shared" si="5"/>
        <v>0</v>
      </c>
      <c r="G377" s="224" t="s">
        <v>462</v>
      </c>
      <c r="H377" s="448"/>
      <c r="I377" s="64"/>
      <c r="J377" s="58"/>
      <c r="K377" s="58"/>
      <c r="L377" s="64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</row>
    <row r="378" spans="1:68" ht="25.25" customHeight="1">
      <c r="A378" s="702"/>
      <c r="B378" s="202" t="s">
        <v>192</v>
      </c>
      <c r="C378" s="499" t="s">
        <v>129</v>
      </c>
      <c r="D378" s="91">
        <v>400</v>
      </c>
      <c r="E378" s="90">
        <v>290</v>
      </c>
      <c r="F378" s="179">
        <f t="shared" si="5"/>
        <v>0</v>
      </c>
      <c r="G378" s="310" t="s">
        <v>463</v>
      </c>
      <c r="H378" s="448"/>
      <c r="I378" s="64"/>
      <c r="J378" s="58"/>
      <c r="K378" s="58"/>
      <c r="L378" s="64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</row>
    <row r="379" spans="1:68" ht="25.25" customHeight="1">
      <c r="A379" s="702"/>
      <c r="B379" s="202" t="s">
        <v>193</v>
      </c>
      <c r="C379" s="499" t="s">
        <v>29</v>
      </c>
      <c r="D379" s="91">
        <v>400</v>
      </c>
      <c r="E379" s="90">
        <v>290</v>
      </c>
      <c r="F379" s="179">
        <f t="shared" si="5"/>
        <v>0</v>
      </c>
      <c r="G379" s="310"/>
      <c r="H379" s="448"/>
      <c r="I379" s="64"/>
      <c r="J379" s="58"/>
      <c r="K379" s="58"/>
      <c r="L379" s="64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</row>
    <row r="380" spans="1:68" ht="25.25" customHeight="1">
      <c r="A380" s="702"/>
      <c r="B380" s="202" t="s">
        <v>194</v>
      </c>
      <c r="C380" s="499" t="s">
        <v>29</v>
      </c>
      <c r="D380" s="91">
        <v>400</v>
      </c>
      <c r="E380" s="90">
        <v>290</v>
      </c>
      <c r="F380" s="179">
        <f t="shared" si="5"/>
        <v>0</v>
      </c>
      <c r="G380" s="310"/>
      <c r="H380" s="448"/>
      <c r="I380" s="64"/>
      <c r="J380" s="58"/>
      <c r="K380" s="58"/>
      <c r="L380" s="64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</row>
    <row r="381" spans="1:68" ht="25.25" customHeight="1">
      <c r="A381" s="702"/>
      <c r="B381" s="203" t="s">
        <v>195</v>
      </c>
      <c r="C381" s="499" t="s">
        <v>29</v>
      </c>
      <c r="D381" s="88">
        <v>400</v>
      </c>
      <c r="E381" s="90">
        <v>290</v>
      </c>
      <c r="F381" s="207">
        <f t="shared" si="5"/>
        <v>0</v>
      </c>
      <c r="G381" s="224" t="s">
        <v>462</v>
      </c>
      <c r="H381" s="448"/>
      <c r="I381" s="64"/>
      <c r="J381" s="58"/>
      <c r="K381" s="58"/>
      <c r="L381" s="64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</row>
    <row r="382" spans="1:68" ht="25.25" customHeight="1">
      <c r="A382" s="702"/>
      <c r="B382" s="203" t="s">
        <v>196</v>
      </c>
      <c r="C382" s="290" t="s">
        <v>29</v>
      </c>
      <c r="D382" s="88">
        <v>400</v>
      </c>
      <c r="E382" s="113">
        <v>290</v>
      </c>
      <c r="F382" s="207">
        <f t="shared" si="5"/>
        <v>0</v>
      </c>
      <c r="G382" s="310" t="s">
        <v>463</v>
      </c>
      <c r="H382" s="448"/>
      <c r="I382" s="64"/>
      <c r="J382" s="58"/>
      <c r="K382" s="58"/>
      <c r="L382" s="64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</row>
    <row r="383" spans="1:68" ht="25.25" customHeight="1">
      <c r="A383" s="702"/>
      <c r="B383" s="338" t="s">
        <v>197</v>
      </c>
      <c r="C383" s="290" t="s">
        <v>29</v>
      </c>
      <c r="D383" s="311">
        <v>400</v>
      </c>
      <c r="E383" s="90">
        <v>290</v>
      </c>
      <c r="F383" s="179">
        <f t="shared" si="5"/>
        <v>0</v>
      </c>
      <c r="G383" s="310"/>
      <c r="H383" s="448"/>
      <c r="I383" s="64"/>
      <c r="J383" s="58"/>
      <c r="K383" s="58"/>
      <c r="L383" s="64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</row>
    <row r="384" spans="1:68" ht="25.25" customHeight="1">
      <c r="A384" s="702"/>
      <c r="B384" s="336" t="s">
        <v>221</v>
      </c>
      <c r="C384" s="290" t="s">
        <v>29</v>
      </c>
      <c r="D384" s="296">
        <v>380</v>
      </c>
      <c r="E384" s="113">
        <v>290</v>
      </c>
      <c r="F384" s="228">
        <f t="shared" si="5"/>
        <v>0</v>
      </c>
      <c r="G384" s="337"/>
      <c r="H384" s="448"/>
      <c r="I384" s="64"/>
      <c r="J384" s="58"/>
      <c r="K384" s="58"/>
      <c r="L384" s="64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</row>
    <row r="385" spans="1:68" ht="25.25" customHeight="1">
      <c r="A385" s="702"/>
      <c r="B385" s="336" t="s">
        <v>452</v>
      </c>
      <c r="C385" s="290" t="s">
        <v>29</v>
      </c>
      <c r="D385" s="296">
        <v>380</v>
      </c>
      <c r="E385" s="113">
        <v>290</v>
      </c>
      <c r="F385" s="228">
        <f t="shared" si="5"/>
        <v>0</v>
      </c>
      <c r="G385" s="224" t="s">
        <v>462</v>
      </c>
      <c r="H385" s="448"/>
      <c r="I385" s="64"/>
      <c r="J385" s="58"/>
      <c r="K385" s="58"/>
      <c r="L385" s="64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</row>
    <row r="386" spans="1:68" ht="25.25" customHeight="1">
      <c r="A386" s="702"/>
      <c r="B386" s="202" t="s">
        <v>222</v>
      </c>
      <c r="C386" s="499" t="s">
        <v>29</v>
      </c>
      <c r="D386" s="91">
        <v>380</v>
      </c>
      <c r="E386" s="90">
        <v>290</v>
      </c>
      <c r="F386" s="179">
        <f t="shared" si="5"/>
        <v>0</v>
      </c>
      <c r="G386" s="310" t="s">
        <v>463</v>
      </c>
      <c r="H386" s="448"/>
      <c r="I386" s="64"/>
      <c r="J386" s="58"/>
      <c r="K386" s="58"/>
      <c r="L386" s="64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</row>
    <row r="387" spans="1:68" ht="25.25" customHeight="1" thickBot="1">
      <c r="A387" s="703"/>
      <c r="B387" s="189"/>
      <c r="C387" s="500"/>
      <c r="D387" s="100"/>
      <c r="E387" s="54"/>
      <c r="F387" s="141">
        <f t="shared" si="5"/>
        <v>0</v>
      </c>
      <c r="G387" s="243"/>
      <c r="H387" s="448"/>
      <c r="I387" s="64"/>
      <c r="J387" s="58"/>
      <c r="K387" s="58"/>
      <c r="L387" s="64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</row>
    <row r="388" spans="1:68" ht="25.25" customHeight="1">
      <c r="A388" s="706" t="s">
        <v>352</v>
      </c>
      <c r="B388" s="84" t="s">
        <v>268</v>
      </c>
      <c r="C388" s="270" t="s">
        <v>15</v>
      </c>
      <c r="D388" s="181">
        <v>290</v>
      </c>
      <c r="E388" s="183">
        <v>230</v>
      </c>
      <c r="F388" s="227">
        <f t="shared" si="5"/>
        <v>0</v>
      </c>
      <c r="G388" s="405"/>
      <c r="H388" s="448"/>
      <c r="I388" s="58"/>
      <c r="J388" s="58"/>
      <c r="K388" s="58"/>
      <c r="L388" s="64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</row>
    <row r="389" spans="1:68" ht="25.25" customHeight="1">
      <c r="A389" s="706"/>
      <c r="B389" s="82" t="s">
        <v>385</v>
      </c>
      <c r="C389" s="270" t="s">
        <v>15</v>
      </c>
      <c r="D389" s="58">
        <v>290</v>
      </c>
      <c r="E389" s="182">
        <v>230</v>
      </c>
      <c r="F389" s="138">
        <f t="shared" ref="F389:F452" si="6">SUM(I389:BP389)</f>
        <v>0</v>
      </c>
      <c r="G389" s="394"/>
      <c r="H389" s="448"/>
      <c r="I389" s="58"/>
      <c r="J389" s="58"/>
      <c r="K389" s="58"/>
      <c r="L389" s="64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</row>
    <row r="390" spans="1:68" ht="25.25" customHeight="1">
      <c r="A390" s="706"/>
      <c r="B390" s="82" t="s">
        <v>269</v>
      </c>
      <c r="C390" s="270" t="s">
        <v>15</v>
      </c>
      <c r="D390" s="58">
        <v>290</v>
      </c>
      <c r="E390" s="182">
        <v>230</v>
      </c>
      <c r="F390" s="138">
        <f t="shared" si="6"/>
        <v>0</v>
      </c>
      <c r="G390" s="395"/>
      <c r="H390" s="448"/>
      <c r="I390" s="58"/>
      <c r="J390" s="58"/>
      <c r="K390" s="58"/>
      <c r="L390" s="64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</row>
    <row r="391" spans="1:68" ht="25.25" customHeight="1">
      <c r="A391" s="706"/>
      <c r="B391" s="82" t="s">
        <v>270</v>
      </c>
      <c r="C391" s="270" t="s">
        <v>15</v>
      </c>
      <c r="D391" s="58">
        <v>290</v>
      </c>
      <c r="E391" s="182">
        <v>230</v>
      </c>
      <c r="F391" s="138">
        <f t="shared" si="6"/>
        <v>0</v>
      </c>
      <c r="G391" s="393"/>
      <c r="H391" s="448"/>
      <c r="I391" s="58"/>
      <c r="J391" s="58"/>
      <c r="K391" s="58"/>
      <c r="L391" s="64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</row>
    <row r="392" spans="1:68" ht="25.25" customHeight="1">
      <c r="A392" s="706"/>
      <c r="B392" s="82" t="s">
        <v>271</v>
      </c>
      <c r="C392" s="270" t="s">
        <v>15</v>
      </c>
      <c r="D392" s="58">
        <v>290</v>
      </c>
      <c r="E392" s="182">
        <v>230</v>
      </c>
      <c r="F392" s="138">
        <f t="shared" si="6"/>
        <v>0</v>
      </c>
      <c r="G392" s="393"/>
      <c r="H392" s="448"/>
      <c r="I392" s="58"/>
      <c r="J392" s="58"/>
      <c r="K392" s="58"/>
      <c r="L392" s="64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</row>
    <row r="393" spans="1:68" ht="25.25" customHeight="1">
      <c r="A393" s="706"/>
      <c r="B393" s="82" t="s">
        <v>272</v>
      </c>
      <c r="C393" s="270" t="s">
        <v>15</v>
      </c>
      <c r="D393" s="58">
        <v>290</v>
      </c>
      <c r="E393" s="182">
        <v>230</v>
      </c>
      <c r="F393" s="138">
        <f t="shared" si="6"/>
        <v>0</v>
      </c>
      <c r="G393" s="394"/>
      <c r="H393" s="448"/>
      <c r="I393" s="58"/>
      <c r="J393" s="58"/>
      <c r="K393" s="58"/>
      <c r="L393" s="64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</row>
    <row r="394" spans="1:68" ht="29" customHeight="1" thickBot="1">
      <c r="A394" s="707"/>
      <c r="B394" s="79"/>
      <c r="C394" s="282"/>
      <c r="D394" s="100"/>
      <c r="E394" s="54"/>
      <c r="F394" s="141">
        <f t="shared" si="6"/>
        <v>0</v>
      </c>
      <c r="G394" s="396"/>
      <c r="H394" s="448"/>
      <c r="I394" s="58"/>
      <c r="J394" s="58"/>
      <c r="K394" s="58"/>
      <c r="L394" s="64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</row>
    <row r="395" spans="1:68" ht="25.25" customHeight="1">
      <c r="A395" s="662" t="s">
        <v>665</v>
      </c>
      <c r="B395" s="82" t="s">
        <v>667</v>
      </c>
      <c r="C395" s="262" t="s">
        <v>666</v>
      </c>
      <c r="D395" s="58">
        <v>125</v>
      </c>
      <c r="E395" s="182">
        <v>100</v>
      </c>
      <c r="F395" s="138">
        <f t="shared" si="6"/>
        <v>0</v>
      </c>
      <c r="G395" s="531"/>
      <c r="H395" s="448"/>
      <c r="I395" s="64"/>
      <c r="J395" s="58"/>
      <c r="K395" s="58"/>
      <c r="L395" s="64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</row>
    <row r="396" spans="1:68" ht="25.25" customHeight="1">
      <c r="A396" s="662"/>
      <c r="B396" s="82" t="s">
        <v>668</v>
      </c>
      <c r="C396" s="262" t="s">
        <v>666</v>
      </c>
      <c r="D396" s="58">
        <v>125</v>
      </c>
      <c r="E396" s="182">
        <v>100</v>
      </c>
      <c r="F396" s="138">
        <f t="shared" si="6"/>
        <v>0</v>
      </c>
      <c r="G396" s="531"/>
      <c r="H396" s="448"/>
      <c r="I396" s="64"/>
      <c r="J396" s="58"/>
      <c r="K396" s="58"/>
      <c r="L396" s="64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</row>
    <row r="397" spans="1:68" ht="25.25" customHeight="1">
      <c r="A397" s="662"/>
      <c r="B397" s="82" t="s">
        <v>669</v>
      </c>
      <c r="C397" s="262" t="s">
        <v>666</v>
      </c>
      <c r="D397" s="58">
        <v>125</v>
      </c>
      <c r="E397" s="182">
        <v>100</v>
      </c>
      <c r="F397" s="138">
        <f t="shared" si="6"/>
        <v>0</v>
      </c>
      <c r="G397" s="531"/>
      <c r="H397" s="448"/>
      <c r="I397" s="64"/>
      <c r="J397" s="58"/>
      <c r="K397" s="58"/>
      <c r="L397" s="64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</row>
    <row r="398" spans="1:68" ht="25.25" customHeight="1">
      <c r="A398" s="662"/>
      <c r="B398" s="82" t="s">
        <v>670</v>
      </c>
      <c r="C398" s="262" t="s">
        <v>666</v>
      </c>
      <c r="D398" s="58">
        <v>125</v>
      </c>
      <c r="E398" s="182">
        <v>100</v>
      </c>
      <c r="F398" s="138">
        <f t="shared" si="6"/>
        <v>0</v>
      </c>
      <c r="G398" s="531"/>
      <c r="H398" s="448"/>
      <c r="I398" s="64"/>
      <c r="J398" s="58"/>
      <c r="K398" s="58"/>
      <c r="L398" s="64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</row>
    <row r="399" spans="1:68" ht="25.25" customHeight="1">
      <c r="A399" s="662"/>
      <c r="B399" s="82" t="s">
        <v>671</v>
      </c>
      <c r="C399" s="262" t="s">
        <v>666</v>
      </c>
      <c r="D399" s="58">
        <v>125</v>
      </c>
      <c r="E399" s="182">
        <v>100</v>
      </c>
      <c r="F399" s="138">
        <f t="shared" si="6"/>
        <v>0</v>
      </c>
      <c r="G399" s="531"/>
      <c r="H399" s="448"/>
      <c r="I399" s="64"/>
      <c r="J399" s="58"/>
      <c r="K399" s="58"/>
      <c r="L399" s="64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</row>
    <row r="400" spans="1:68" ht="25.25" customHeight="1">
      <c r="A400" s="662"/>
      <c r="B400" s="82" t="s">
        <v>672</v>
      </c>
      <c r="C400" s="262" t="s">
        <v>666</v>
      </c>
      <c r="D400" s="58">
        <v>125</v>
      </c>
      <c r="E400" s="182">
        <v>100</v>
      </c>
      <c r="F400" s="140">
        <f t="shared" si="6"/>
        <v>0</v>
      </c>
      <c r="G400" s="531"/>
      <c r="H400" s="448"/>
      <c r="I400" s="64"/>
      <c r="J400" s="58"/>
      <c r="K400" s="58"/>
      <c r="L400" s="64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</row>
    <row r="401" spans="1:68" ht="25.25" customHeight="1">
      <c r="A401" s="662"/>
      <c r="B401" s="82" t="s">
        <v>673</v>
      </c>
      <c r="C401" s="262" t="s">
        <v>666</v>
      </c>
      <c r="D401" s="58">
        <v>125</v>
      </c>
      <c r="E401" s="182">
        <v>100</v>
      </c>
      <c r="F401" s="140">
        <f t="shared" si="6"/>
        <v>0</v>
      </c>
      <c r="G401" s="531"/>
      <c r="H401" s="448"/>
      <c r="I401" s="64"/>
      <c r="J401" s="58"/>
      <c r="K401" s="58"/>
      <c r="L401" s="64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</row>
    <row r="402" spans="1:68" ht="25.25" customHeight="1">
      <c r="A402" s="662"/>
      <c r="B402" s="82" t="s">
        <v>674</v>
      </c>
      <c r="C402" s="262" t="s">
        <v>666</v>
      </c>
      <c r="D402" s="58">
        <v>125</v>
      </c>
      <c r="E402" s="182">
        <v>100</v>
      </c>
      <c r="F402" s="140">
        <f t="shared" si="6"/>
        <v>0</v>
      </c>
      <c r="G402" s="531"/>
      <c r="H402" s="448"/>
      <c r="I402" s="64"/>
      <c r="J402" s="58"/>
      <c r="K402" s="58"/>
      <c r="L402" s="64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</row>
    <row r="403" spans="1:68" ht="25.25" customHeight="1">
      <c r="A403" s="662"/>
      <c r="B403" s="82" t="s">
        <v>675</v>
      </c>
      <c r="C403" s="262" t="s">
        <v>666</v>
      </c>
      <c r="D403" s="58">
        <v>125</v>
      </c>
      <c r="E403" s="182">
        <v>100</v>
      </c>
      <c r="F403" s="140">
        <f t="shared" si="6"/>
        <v>0</v>
      </c>
      <c r="G403" s="531"/>
      <c r="H403" s="448"/>
      <c r="I403" s="64"/>
      <c r="J403" s="58"/>
      <c r="K403" s="58"/>
      <c r="L403" s="64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</row>
    <row r="404" spans="1:68" ht="25.25" customHeight="1">
      <c r="A404" s="662"/>
      <c r="B404" s="82" t="s">
        <v>676</v>
      </c>
      <c r="C404" s="262" t="s">
        <v>666</v>
      </c>
      <c r="D404" s="58">
        <v>125</v>
      </c>
      <c r="E404" s="182">
        <v>100</v>
      </c>
      <c r="F404" s="140">
        <f t="shared" si="6"/>
        <v>0</v>
      </c>
      <c r="G404" s="531"/>
      <c r="H404" s="448"/>
      <c r="I404" s="64"/>
      <c r="J404" s="58"/>
      <c r="K404" s="58"/>
      <c r="L404" s="64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</row>
    <row r="405" spans="1:68" ht="25.25" customHeight="1">
      <c r="A405" s="662"/>
      <c r="B405" s="82" t="s">
        <v>677</v>
      </c>
      <c r="C405" s="262" t="s">
        <v>666</v>
      </c>
      <c r="D405" s="58">
        <v>125</v>
      </c>
      <c r="E405" s="182">
        <v>100</v>
      </c>
      <c r="F405" s="140">
        <f t="shared" si="6"/>
        <v>0</v>
      </c>
      <c r="G405" s="531"/>
      <c r="H405" s="448"/>
      <c r="I405" s="64"/>
      <c r="J405" s="58"/>
      <c r="K405" s="58"/>
      <c r="L405" s="64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</row>
    <row r="406" spans="1:68" ht="25.25" customHeight="1">
      <c r="A406" s="662"/>
      <c r="B406" s="82" t="s">
        <v>678</v>
      </c>
      <c r="C406" s="262" t="s">
        <v>666</v>
      </c>
      <c r="D406" s="58">
        <v>125</v>
      </c>
      <c r="E406" s="182">
        <v>100</v>
      </c>
      <c r="F406" s="140">
        <f t="shared" si="6"/>
        <v>0</v>
      </c>
      <c r="G406" s="531"/>
      <c r="H406" s="448"/>
      <c r="I406" s="64"/>
      <c r="J406" s="58"/>
      <c r="K406" s="58"/>
      <c r="L406" s="64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</row>
    <row r="407" spans="1:68" ht="25.25" customHeight="1">
      <c r="A407" s="662"/>
      <c r="B407" s="82" t="s">
        <v>679</v>
      </c>
      <c r="C407" s="262" t="s">
        <v>666</v>
      </c>
      <c r="D407" s="58">
        <v>125</v>
      </c>
      <c r="E407" s="182">
        <v>100</v>
      </c>
      <c r="F407" s="140">
        <f t="shared" si="6"/>
        <v>0</v>
      </c>
      <c r="G407" s="531"/>
      <c r="H407" s="448"/>
      <c r="I407" s="64"/>
      <c r="J407" s="58"/>
      <c r="K407" s="58"/>
      <c r="L407" s="64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</row>
    <row r="408" spans="1:68" ht="22.75" customHeight="1">
      <c r="A408" s="662"/>
      <c r="B408" s="82" t="s">
        <v>680</v>
      </c>
      <c r="C408" s="262" t="s">
        <v>666</v>
      </c>
      <c r="D408" s="58">
        <v>125</v>
      </c>
      <c r="E408" s="182">
        <v>100</v>
      </c>
      <c r="F408" s="140">
        <f t="shared" si="6"/>
        <v>0</v>
      </c>
      <c r="G408" s="531"/>
      <c r="H408" s="448"/>
      <c r="I408" s="64"/>
      <c r="J408" s="58"/>
      <c r="K408" s="58"/>
      <c r="L408" s="64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</row>
    <row r="409" spans="1:68" ht="19.75" hidden="1" customHeight="1">
      <c r="A409" s="662"/>
      <c r="B409" s="83" t="s">
        <v>128</v>
      </c>
      <c r="C409" s="284" t="s">
        <v>4</v>
      </c>
      <c r="D409" s="58">
        <v>125</v>
      </c>
      <c r="E409" s="182">
        <v>100</v>
      </c>
      <c r="F409" s="140">
        <f t="shared" si="6"/>
        <v>0</v>
      </c>
      <c r="G409" s="371"/>
      <c r="H409" s="448"/>
      <c r="I409" s="64"/>
      <c r="J409" s="58"/>
      <c r="K409" s="58"/>
      <c r="L409" s="64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</row>
    <row r="410" spans="1:68" ht="22.25" customHeight="1">
      <c r="A410" s="662"/>
      <c r="B410" s="82" t="s">
        <v>681</v>
      </c>
      <c r="C410" s="262" t="s">
        <v>666</v>
      </c>
      <c r="D410" s="58">
        <v>125</v>
      </c>
      <c r="E410" s="182">
        <v>100</v>
      </c>
      <c r="F410" s="140">
        <f t="shared" si="6"/>
        <v>0</v>
      </c>
      <c r="G410" s="379"/>
      <c r="H410" s="448"/>
      <c r="I410" s="64"/>
      <c r="J410" s="58"/>
      <c r="K410" s="58"/>
      <c r="L410" s="64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</row>
    <row r="411" spans="1:68" ht="24.65" customHeight="1">
      <c r="A411" s="662"/>
      <c r="B411" s="82" t="s">
        <v>682</v>
      </c>
      <c r="C411" s="262" t="s">
        <v>666</v>
      </c>
      <c r="D411" s="58">
        <v>125</v>
      </c>
      <c r="E411" s="182">
        <v>100</v>
      </c>
      <c r="F411" s="140">
        <f t="shared" si="6"/>
        <v>0</v>
      </c>
      <c r="G411" s="379"/>
      <c r="H411" s="448"/>
      <c r="I411" s="64"/>
      <c r="J411" s="58"/>
      <c r="K411" s="58"/>
      <c r="L411" s="64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</row>
    <row r="412" spans="1:68" ht="22.25" customHeight="1">
      <c r="A412" s="662"/>
      <c r="B412" s="83" t="s">
        <v>683</v>
      </c>
      <c r="C412" s="262" t="s">
        <v>666</v>
      </c>
      <c r="D412" s="58">
        <v>125</v>
      </c>
      <c r="E412" s="182">
        <v>100</v>
      </c>
      <c r="F412" s="140">
        <f t="shared" si="6"/>
        <v>0</v>
      </c>
      <c r="G412" s="379"/>
      <c r="H412" s="448"/>
      <c r="I412" s="64"/>
      <c r="J412" s="58"/>
      <c r="K412" s="58"/>
      <c r="L412" s="64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</row>
    <row r="413" spans="1:68" ht="22.25" customHeight="1">
      <c r="A413" s="662"/>
      <c r="B413" s="83" t="s">
        <v>684</v>
      </c>
      <c r="C413" s="262" t="s">
        <v>666</v>
      </c>
      <c r="D413" s="58">
        <v>125</v>
      </c>
      <c r="E413" s="182">
        <v>100</v>
      </c>
      <c r="F413" s="140">
        <f t="shared" si="6"/>
        <v>0</v>
      </c>
      <c r="G413" s="379"/>
      <c r="H413" s="448"/>
      <c r="I413" s="64"/>
      <c r="J413" s="58"/>
      <c r="K413" s="58"/>
      <c r="L413" s="64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</row>
    <row r="414" spans="1:68" ht="22.75" customHeight="1">
      <c r="A414" s="662"/>
      <c r="B414" s="83" t="s">
        <v>685</v>
      </c>
      <c r="C414" s="262" t="s">
        <v>666</v>
      </c>
      <c r="D414" s="58">
        <v>125</v>
      </c>
      <c r="E414" s="182">
        <v>100</v>
      </c>
      <c r="F414" s="140">
        <f t="shared" si="6"/>
        <v>0</v>
      </c>
      <c r="G414" s="379"/>
      <c r="H414" s="448"/>
      <c r="I414" s="64"/>
      <c r="J414" s="58"/>
      <c r="K414" s="58"/>
      <c r="L414" s="64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</row>
    <row r="415" spans="1:68" ht="23.4" customHeight="1">
      <c r="A415" s="662"/>
      <c r="B415" s="83" t="s">
        <v>686</v>
      </c>
      <c r="C415" s="262" t="s">
        <v>666</v>
      </c>
      <c r="D415" s="58">
        <v>125</v>
      </c>
      <c r="E415" s="182">
        <v>100</v>
      </c>
      <c r="F415" s="140">
        <f t="shared" si="6"/>
        <v>0</v>
      </c>
      <c r="G415" s="379"/>
      <c r="H415" s="448"/>
      <c r="I415" s="64"/>
      <c r="J415" s="58"/>
      <c r="K415" s="58"/>
      <c r="L415" s="64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</row>
    <row r="416" spans="1:68" ht="27.65" customHeight="1" thickBot="1">
      <c r="A416" s="663"/>
      <c r="B416" s="79"/>
      <c r="C416" s="282"/>
      <c r="D416" s="100"/>
      <c r="E416" s="54"/>
      <c r="F416" s="141">
        <f t="shared" si="6"/>
        <v>0</v>
      </c>
      <c r="G416" s="349"/>
      <c r="H416" s="448"/>
      <c r="I416" s="64"/>
      <c r="J416" s="58"/>
      <c r="K416" s="58"/>
      <c r="L416" s="64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</row>
    <row r="417" spans="1:68" ht="34.75" customHeight="1">
      <c r="A417" s="672" t="s">
        <v>558</v>
      </c>
      <c r="B417" s="84" t="s">
        <v>177</v>
      </c>
      <c r="C417" s="582" t="s">
        <v>178</v>
      </c>
      <c r="D417" s="181">
        <v>2100</v>
      </c>
      <c r="E417" s="183">
        <v>1800</v>
      </c>
      <c r="F417" s="227">
        <f t="shared" si="6"/>
        <v>0</v>
      </c>
      <c r="G417" s="583"/>
      <c r="H417" s="448"/>
      <c r="I417" s="64"/>
      <c r="J417" s="58"/>
      <c r="K417" s="58"/>
      <c r="L417" s="64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</row>
    <row r="418" spans="1:68" ht="34.75" customHeight="1" thickBot="1">
      <c r="A418" s="673"/>
      <c r="B418" s="581" t="s">
        <v>659</v>
      </c>
      <c r="C418" s="269" t="s">
        <v>658</v>
      </c>
      <c r="D418" s="296">
        <v>250</v>
      </c>
      <c r="E418" s="113">
        <v>250</v>
      </c>
      <c r="F418" s="179">
        <f t="shared" si="6"/>
        <v>0</v>
      </c>
      <c r="G418" s="580" t="s">
        <v>764</v>
      </c>
      <c r="H418" s="448"/>
      <c r="I418" s="64"/>
      <c r="J418" s="58"/>
      <c r="K418" s="58"/>
      <c r="L418" s="64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</row>
    <row r="419" spans="1:68" ht="32.4" customHeight="1" thickBot="1">
      <c r="A419" s="672"/>
      <c r="B419" s="84" t="s">
        <v>477</v>
      </c>
      <c r="C419" s="279" t="s">
        <v>178</v>
      </c>
      <c r="D419" s="181">
        <v>150</v>
      </c>
      <c r="E419" s="183">
        <v>150</v>
      </c>
      <c r="F419" s="138">
        <f t="shared" si="6"/>
        <v>0</v>
      </c>
      <c r="G419" s="397"/>
      <c r="H419" s="452"/>
      <c r="I419" s="64"/>
      <c r="J419" s="58"/>
      <c r="K419" s="58"/>
      <c r="L419" s="64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</row>
    <row r="420" spans="1:68" ht="25.25" customHeight="1">
      <c r="A420" s="674"/>
      <c r="B420" s="210" t="s">
        <v>19</v>
      </c>
      <c r="C420" s="289" t="s">
        <v>18</v>
      </c>
      <c r="D420" s="209">
        <v>270</v>
      </c>
      <c r="E420" s="211">
        <v>230</v>
      </c>
      <c r="F420" s="237">
        <f t="shared" si="6"/>
        <v>0</v>
      </c>
      <c r="G420" s="332"/>
      <c r="H420" s="448"/>
      <c r="I420" s="64"/>
      <c r="J420" s="58"/>
      <c r="K420" s="58"/>
      <c r="L420" s="64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</row>
    <row r="421" spans="1:68" ht="25.25" customHeight="1">
      <c r="A421" s="674"/>
      <c r="B421" s="210" t="s">
        <v>20</v>
      </c>
      <c r="C421" s="289" t="s">
        <v>18</v>
      </c>
      <c r="D421" s="209">
        <v>270</v>
      </c>
      <c r="E421" s="211">
        <v>230</v>
      </c>
      <c r="F421" s="237">
        <f t="shared" si="6"/>
        <v>0</v>
      </c>
      <c r="G421" s="332" t="s">
        <v>433</v>
      </c>
      <c r="H421" s="448"/>
      <c r="I421" s="64"/>
      <c r="J421" s="58"/>
      <c r="K421" s="58"/>
      <c r="L421" s="64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</row>
    <row r="422" spans="1:68" ht="25.25" customHeight="1">
      <c r="A422" s="674"/>
      <c r="B422" s="210" t="s">
        <v>21</v>
      </c>
      <c r="C422" s="289" t="s">
        <v>18</v>
      </c>
      <c r="D422" s="209">
        <v>270</v>
      </c>
      <c r="E422" s="211">
        <v>230</v>
      </c>
      <c r="F422" s="237">
        <f t="shared" si="6"/>
        <v>0</v>
      </c>
      <c r="G422" s="333" t="s">
        <v>434</v>
      </c>
      <c r="H422" s="448"/>
      <c r="I422" s="64"/>
      <c r="J422" s="58"/>
      <c r="K422" s="58"/>
      <c r="L422" s="64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</row>
    <row r="423" spans="1:68" ht="25.25" customHeight="1">
      <c r="A423" s="674"/>
      <c r="B423" s="210" t="s">
        <v>22</v>
      </c>
      <c r="C423" s="289" t="s">
        <v>18</v>
      </c>
      <c r="D423" s="209">
        <v>270</v>
      </c>
      <c r="E423" s="211">
        <v>230</v>
      </c>
      <c r="F423" s="237">
        <f t="shared" si="6"/>
        <v>0</v>
      </c>
      <c r="G423" s="332"/>
      <c r="H423" s="448"/>
      <c r="I423" s="64"/>
      <c r="J423" s="58"/>
      <c r="K423" s="58"/>
      <c r="L423" s="64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</row>
    <row r="424" spans="1:68" ht="25.25" customHeight="1">
      <c r="A424" s="674"/>
      <c r="B424" s="210" t="s">
        <v>583</v>
      </c>
      <c r="C424" s="289" t="s">
        <v>18</v>
      </c>
      <c r="D424" s="209">
        <v>270</v>
      </c>
      <c r="E424" s="211">
        <v>230</v>
      </c>
      <c r="F424" s="237">
        <f t="shared" si="6"/>
        <v>0</v>
      </c>
      <c r="G424" s="587" t="s">
        <v>433</v>
      </c>
      <c r="H424" s="448"/>
      <c r="I424" s="64"/>
      <c r="J424" s="58"/>
      <c r="K424" s="58"/>
      <c r="L424" s="64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</row>
    <row r="425" spans="1:68" ht="25.25" customHeight="1">
      <c r="A425" s="674"/>
      <c r="B425" s="210" t="s">
        <v>579</v>
      </c>
      <c r="C425" s="289" t="s">
        <v>18</v>
      </c>
      <c r="D425" s="209">
        <v>270</v>
      </c>
      <c r="E425" s="211">
        <v>230</v>
      </c>
      <c r="F425" s="237">
        <f t="shared" si="6"/>
        <v>0</v>
      </c>
      <c r="G425" s="588" t="s">
        <v>434</v>
      </c>
      <c r="H425" s="448"/>
      <c r="I425" s="64"/>
      <c r="J425" s="58"/>
      <c r="K425" s="58"/>
      <c r="L425" s="64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</row>
    <row r="426" spans="1:68" ht="25.25" customHeight="1">
      <c r="A426" s="674"/>
      <c r="B426" s="210" t="s">
        <v>580</v>
      </c>
      <c r="C426" s="289" t="s">
        <v>18</v>
      </c>
      <c r="D426" s="209">
        <v>270</v>
      </c>
      <c r="E426" s="211">
        <v>230</v>
      </c>
      <c r="F426" s="237">
        <f t="shared" si="6"/>
        <v>0</v>
      </c>
      <c r="G426" s="589"/>
      <c r="H426" s="448"/>
      <c r="I426" s="64"/>
      <c r="J426" s="58"/>
      <c r="K426" s="58"/>
      <c r="L426" s="64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</row>
    <row r="427" spans="1:68" ht="25.25" customHeight="1">
      <c r="A427" s="674"/>
      <c r="B427" s="210" t="s">
        <v>581</v>
      </c>
      <c r="C427" s="289" t="s">
        <v>18</v>
      </c>
      <c r="D427" s="209">
        <v>270</v>
      </c>
      <c r="E427" s="211">
        <v>230</v>
      </c>
      <c r="F427" s="237">
        <f t="shared" si="6"/>
        <v>0</v>
      </c>
      <c r="G427" s="332" t="s">
        <v>433</v>
      </c>
      <c r="H427" s="448"/>
      <c r="I427" s="64"/>
      <c r="J427" s="58"/>
      <c r="K427" s="58"/>
      <c r="L427" s="64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</row>
    <row r="428" spans="1:68" ht="25.25" customHeight="1">
      <c r="A428" s="674"/>
      <c r="B428" s="210" t="s">
        <v>582</v>
      </c>
      <c r="C428" s="289" t="s">
        <v>18</v>
      </c>
      <c r="D428" s="209">
        <v>270</v>
      </c>
      <c r="E428" s="211">
        <v>230</v>
      </c>
      <c r="F428" s="237">
        <f t="shared" si="6"/>
        <v>0</v>
      </c>
      <c r="G428" s="590" t="s">
        <v>434</v>
      </c>
      <c r="H428" s="448"/>
      <c r="I428" s="64"/>
      <c r="J428" s="58"/>
      <c r="K428" s="58"/>
      <c r="L428" s="64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</row>
    <row r="429" spans="1:68" ht="25.25" customHeight="1">
      <c r="A429" s="675"/>
      <c r="B429" s="204" t="s">
        <v>584</v>
      </c>
      <c r="C429" s="285"/>
      <c r="D429" s="88">
        <v>290</v>
      </c>
      <c r="E429" s="87">
        <v>250</v>
      </c>
      <c r="F429" s="207">
        <f t="shared" si="6"/>
        <v>0</v>
      </c>
      <c r="G429" s="478"/>
      <c r="H429" s="448"/>
      <c r="I429" s="64"/>
      <c r="J429" s="58"/>
      <c r="K429" s="58"/>
      <c r="L429" s="64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</row>
    <row r="430" spans="1:68" ht="25.25" customHeight="1">
      <c r="A430" s="675"/>
      <c r="B430" s="204" t="s">
        <v>585</v>
      </c>
      <c r="C430" s="285"/>
      <c r="D430" s="88">
        <v>290</v>
      </c>
      <c r="E430" s="87">
        <v>250</v>
      </c>
      <c r="F430" s="207">
        <f t="shared" si="6"/>
        <v>0</v>
      </c>
      <c r="G430" s="481" t="s">
        <v>433</v>
      </c>
      <c r="H430" s="448"/>
      <c r="I430" s="64"/>
      <c r="J430" s="58"/>
      <c r="K430" s="58"/>
      <c r="L430" s="64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</row>
    <row r="431" spans="1:68" ht="25.25" customHeight="1">
      <c r="A431" s="675"/>
      <c r="B431" s="204" t="s">
        <v>586</v>
      </c>
      <c r="C431" s="285"/>
      <c r="D431" s="88">
        <v>290</v>
      </c>
      <c r="E431" s="87">
        <v>250</v>
      </c>
      <c r="F431" s="207">
        <f t="shared" si="6"/>
        <v>0</v>
      </c>
      <c r="G431" s="480" t="s">
        <v>434</v>
      </c>
      <c r="H431" s="448"/>
      <c r="I431" s="64"/>
      <c r="J431" s="58"/>
      <c r="K431" s="58"/>
      <c r="L431" s="64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</row>
    <row r="432" spans="1:68" ht="25.25" customHeight="1">
      <c r="A432" s="675"/>
      <c r="B432" s="204" t="s">
        <v>587</v>
      </c>
      <c r="C432" s="285"/>
      <c r="D432" s="88">
        <v>290</v>
      </c>
      <c r="E432" s="87">
        <v>250</v>
      </c>
      <c r="F432" s="207">
        <f t="shared" si="6"/>
        <v>0</v>
      </c>
      <c r="G432" s="479"/>
      <c r="H432" s="448"/>
      <c r="I432" s="64"/>
      <c r="J432" s="58"/>
      <c r="K432" s="58"/>
      <c r="L432" s="64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</row>
    <row r="433" spans="1:68" ht="25.25" customHeight="1">
      <c r="A433" s="675"/>
      <c r="B433" s="204" t="s">
        <v>588</v>
      </c>
      <c r="C433" s="285"/>
      <c r="D433" s="88">
        <v>290</v>
      </c>
      <c r="E433" s="87">
        <v>250</v>
      </c>
      <c r="F433" s="207">
        <f t="shared" si="6"/>
        <v>0</v>
      </c>
      <c r="G433" s="481" t="s">
        <v>433</v>
      </c>
      <c r="H433" s="448"/>
      <c r="I433" s="64"/>
      <c r="J433" s="58"/>
      <c r="K433" s="58"/>
      <c r="L433" s="64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</row>
    <row r="434" spans="1:68" ht="25.25" customHeight="1">
      <c r="A434" s="675"/>
      <c r="B434" s="204" t="s">
        <v>589</v>
      </c>
      <c r="C434" s="285"/>
      <c r="D434" s="88">
        <v>290</v>
      </c>
      <c r="E434" s="87">
        <v>250</v>
      </c>
      <c r="F434" s="207">
        <f t="shared" si="6"/>
        <v>0</v>
      </c>
      <c r="G434" s="480" t="s">
        <v>434</v>
      </c>
      <c r="H434" s="448"/>
      <c r="I434" s="64"/>
      <c r="J434" s="58"/>
      <c r="K434" s="58"/>
      <c r="L434" s="64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</row>
    <row r="435" spans="1:68" ht="25.25" customHeight="1">
      <c r="A435" s="675"/>
      <c r="B435" s="83" t="s">
        <v>455</v>
      </c>
      <c r="C435" s="284" t="s">
        <v>181</v>
      </c>
      <c r="D435" s="184">
        <v>150</v>
      </c>
      <c r="E435" s="55">
        <v>100</v>
      </c>
      <c r="F435" s="140">
        <f t="shared" si="6"/>
        <v>0</v>
      </c>
      <c r="G435" s="391"/>
      <c r="H435" s="448"/>
      <c r="I435" s="64"/>
      <c r="J435" s="58"/>
      <c r="K435" s="58"/>
      <c r="L435" s="64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</row>
    <row r="436" spans="1:68" ht="25.25" customHeight="1">
      <c r="A436" s="675"/>
      <c r="B436" s="83" t="s">
        <v>456</v>
      </c>
      <c r="C436" s="284" t="s">
        <v>184</v>
      </c>
      <c r="D436" s="184">
        <v>150</v>
      </c>
      <c r="E436" s="55">
        <v>100</v>
      </c>
      <c r="F436" s="140">
        <f t="shared" si="6"/>
        <v>0</v>
      </c>
      <c r="G436" s="391"/>
      <c r="H436" s="448"/>
      <c r="I436" s="64"/>
      <c r="J436" s="58"/>
      <c r="K436" s="58"/>
      <c r="L436" s="64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</row>
    <row r="437" spans="1:68" ht="25.25" customHeight="1">
      <c r="A437" s="675"/>
      <c r="B437" s="83" t="s">
        <v>457</v>
      </c>
      <c r="C437" s="284" t="s">
        <v>184</v>
      </c>
      <c r="D437" s="184">
        <v>150</v>
      </c>
      <c r="E437" s="55">
        <v>100</v>
      </c>
      <c r="F437" s="140">
        <f t="shared" si="6"/>
        <v>0</v>
      </c>
      <c r="G437" s="391"/>
      <c r="H437" s="448"/>
      <c r="I437" s="64"/>
      <c r="J437" s="58"/>
      <c r="K437" s="58"/>
      <c r="L437" s="64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</row>
    <row r="438" spans="1:68" ht="25.25" customHeight="1">
      <c r="A438" s="675"/>
      <c r="B438" s="83" t="s">
        <v>458</v>
      </c>
      <c r="C438" s="284" t="s">
        <v>184</v>
      </c>
      <c r="D438" s="184">
        <v>150</v>
      </c>
      <c r="E438" s="55">
        <v>100</v>
      </c>
      <c r="F438" s="140">
        <f t="shared" si="6"/>
        <v>0</v>
      </c>
      <c r="G438" s="391"/>
      <c r="H438" s="448"/>
      <c r="I438" s="64"/>
      <c r="J438" s="58"/>
      <c r="K438" s="58"/>
      <c r="L438" s="64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</row>
    <row r="439" spans="1:68" ht="25.25" customHeight="1">
      <c r="A439" s="675"/>
      <c r="B439" s="83" t="s">
        <v>459</v>
      </c>
      <c r="C439" s="284" t="s">
        <v>184</v>
      </c>
      <c r="D439" s="184">
        <v>150</v>
      </c>
      <c r="E439" s="55">
        <v>100</v>
      </c>
      <c r="F439" s="140">
        <f t="shared" si="6"/>
        <v>0</v>
      </c>
      <c r="G439" s="391"/>
      <c r="H439" s="448"/>
      <c r="I439" s="64"/>
      <c r="J439" s="58"/>
      <c r="K439" s="58"/>
      <c r="L439" s="64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</row>
    <row r="440" spans="1:68" ht="25.25" customHeight="1">
      <c r="A440" s="675"/>
      <c r="B440" s="204" t="s">
        <v>473</v>
      </c>
      <c r="C440" s="430" t="s">
        <v>256</v>
      </c>
      <c r="D440" s="101">
        <v>150</v>
      </c>
      <c r="E440" s="87">
        <v>110</v>
      </c>
      <c r="F440" s="207">
        <f t="shared" si="6"/>
        <v>0</v>
      </c>
      <c r="G440" s="392"/>
      <c r="H440" s="448"/>
      <c r="I440" s="64"/>
      <c r="J440" s="58"/>
      <c r="K440" s="58"/>
      <c r="L440" s="64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</row>
    <row r="441" spans="1:68" ht="25.25" customHeight="1">
      <c r="A441" s="675"/>
      <c r="B441" s="204" t="s">
        <v>474</v>
      </c>
      <c r="C441" s="430" t="s">
        <v>256</v>
      </c>
      <c r="D441" s="101">
        <v>150</v>
      </c>
      <c r="E441" s="87">
        <v>110</v>
      </c>
      <c r="F441" s="207">
        <f t="shared" si="6"/>
        <v>0</v>
      </c>
      <c r="G441" s="392"/>
      <c r="H441" s="448"/>
      <c r="I441" s="64"/>
      <c r="J441" s="58"/>
      <c r="K441" s="58"/>
      <c r="L441" s="64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</row>
    <row r="442" spans="1:68" ht="25.25" customHeight="1">
      <c r="A442" s="675"/>
      <c r="B442" s="204" t="s">
        <v>475</v>
      </c>
      <c r="C442" s="430" t="s">
        <v>256</v>
      </c>
      <c r="D442" s="101">
        <v>150</v>
      </c>
      <c r="E442" s="87">
        <v>110</v>
      </c>
      <c r="F442" s="207">
        <f t="shared" si="6"/>
        <v>0</v>
      </c>
      <c r="G442" s="392"/>
      <c r="H442" s="448"/>
      <c r="I442" s="64"/>
      <c r="J442" s="58"/>
      <c r="K442" s="58"/>
      <c r="L442" s="64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</row>
    <row r="443" spans="1:68" ht="25.25" customHeight="1">
      <c r="A443" s="675"/>
      <c r="B443" s="204" t="s">
        <v>476</v>
      </c>
      <c r="C443" s="430" t="s">
        <v>256</v>
      </c>
      <c r="D443" s="101">
        <v>150</v>
      </c>
      <c r="E443" s="87">
        <v>110</v>
      </c>
      <c r="F443" s="207">
        <f t="shared" si="6"/>
        <v>0</v>
      </c>
      <c r="G443" s="392"/>
      <c r="H443" s="448"/>
      <c r="I443" s="64"/>
      <c r="J443" s="58"/>
      <c r="K443" s="58"/>
      <c r="L443" s="64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</row>
    <row r="444" spans="1:68" ht="25.25" customHeight="1" thickBot="1">
      <c r="A444" s="676"/>
      <c r="B444" s="79"/>
      <c r="C444" s="282"/>
      <c r="D444" s="100"/>
      <c r="E444" s="54"/>
      <c r="F444" s="141">
        <f t="shared" si="6"/>
        <v>0</v>
      </c>
      <c r="G444" s="349"/>
      <c r="H444" s="448"/>
      <c r="I444" s="64"/>
      <c r="J444" s="58"/>
      <c r="K444" s="58"/>
      <c r="L444" s="64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</row>
    <row r="445" spans="1:68" ht="28.25" customHeight="1">
      <c r="A445" s="677" t="s">
        <v>400</v>
      </c>
      <c r="B445" s="212" t="s">
        <v>226</v>
      </c>
      <c r="C445" s="275" t="s">
        <v>218</v>
      </c>
      <c r="D445" s="181">
        <v>450</v>
      </c>
      <c r="E445" s="183">
        <v>390</v>
      </c>
      <c r="F445" s="236">
        <f t="shared" si="6"/>
        <v>0</v>
      </c>
      <c r="G445" s="375" t="s">
        <v>552</v>
      </c>
      <c r="H445" s="448"/>
      <c r="I445" s="58"/>
      <c r="J445" s="58"/>
      <c r="K445" s="58"/>
      <c r="L445" s="64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</row>
    <row r="446" spans="1:68" ht="27.65" customHeight="1">
      <c r="A446" s="678"/>
      <c r="B446" s="180" t="s">
        <v>227</v>
      </c>
      <c r="C446" s="262" t="s">
        <v>218</v>
      </c>
      <c r="D446" s="58">
        <v>450</v>
      </c>
      <c r="E446" s="182">
        <v>390</v>
      </c>
      <c r="F446" s="138">
        <f t="shared" si="6"/>
        <v>0</v>
      </c>
      <c r="G446" s="375" t="s">
        <v>552</v>
      </c>
      <c r="H446" s="448"/>
      <c r="I446" s="58"/>
      <c r="J446" s="58"/>
      <c r="K446" s="58"/>
      <c r="L446" s="64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</row>
    <row r="447" spans="1:68" ht="25.25" customHeight="1">
      <c r="A447" s="678"/>
      <c r="B447" s="180" t="s">
        <v>228</v>
      </c>
      <c r="C447" s="262" t="s">
        <v>218</v>
      </c>
      <c r="D447" s="58">
        <v>450</v>
      </c>
      <c r="E447" s="182">
        <v>390</v>
      </c>
      <c r="F447" s="138">
        <f t="shared" si="6"/>
        <v>0</v>
      </c>
      <c r="G447" s="375" t="s">
        <v>552</v>
      </c>
      <c r="H447" s="448"/>
      <c r="I447" s="58"/>
      <c r="J447" s="58"/>
      <c r="K447" s="58"/>
      <c r="L447" s="64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</row>
    <row r="448" spans="1:68" ht="25.25" customHeight="1">
      <c r="A448" s="678"/>
      <c r="B448" s="180" t="s">
        <v>229</v>
      </c>
      <c r="C448" s="262" t="s">
        <v>218</v>
      </c>
      <c r="D448" s="58">
        <v>450</v>
      </c>
      <c r="E448" s="182">
        <v>390</v>
      </c>
      <c r="F448" s="138">
        <f t="shared" si="6"/>
        <v>0</v>
      </c>
      <c r="G448" s="375" t="s">
        <v>552</v>
      </c>
      <c r="H448" s="448"/>
      <c r="I448" s="58"/>
      <c r="J448" s="58"/>
      <c r="K448" s="58"/>
      <c r="L448" s="64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</row>
    <row r="449" spans="1:68" ht="25.25" customHeight="1">
      <c r="A449" s="678"/>
      <c r="B449" s="180" t="s">
        <v>230</v>
      </c>
      <c r="C449" s="262" t="s">
        <v>218</v>
      </c>
      <c r="D449" s="58">
        <v>450</v>
      </c>
      <c r="E449" s="182">
        <v>390</v>
      </c>
      <c r="F449" s="138">
        <f t="shared" si="6"/>
        <v>0</v>
      </c>
      <c r="G449" s="375" t="s">
        <v>552</v>
      </c>
      <c r="H449" s="448"/>
      <c r="I449" s="58"/>
      <c r="J449" s="58"/>
      <c r="K449" s="58"/>
      <c r="L449" s="64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</row>
    <row r="450" spans="1:68" ht="25.25" customHeight="1">
      <c r="A450" s="678"/>
      <c r="B450" s="180" t="s">
        <v>381</v>
      </c>
      <c r="C450" s="262" t="s">
        <v>218</v>
      </c>
      <c r="D450" s="58">
        <v>450</v>
      </c>
      <c r="E450" s="182">
        <v>390</v>
      </c>
      <c r="F450" s="138">
        <f t="shared" si="6"/>
        <v>0</v>
      </c>
      <c r="G450" s="375" t="s">
        <v>552</v>
      </c>
      <c r="H450" s="448"/>
      <c r="I450" s="58"/>
      <c r="J450" s="58"/>
      <c r="K450" s="58"/>
      <c r="L450" s="64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</row>
    <row r="451" spans="1:68" ht="25.25" customHeight="1">
      <c r="A451" s="678"/>
      <c r="B451" s="180" t="s">
        <v>380</v>
      </c>
      <c r="C451" s="262" t="s">
        <v>218</v>
      </c>
      <c r="D451" s="58">
        <v>450</v>
      </c>
      <c r="E451" s="182">
        <v>390</v>
      </c>
      <c r="F451" s="138">
        <f t="shared" si="6"/>
        <v>0</v>
      </c>
      <c r="G451" s="375" t="s">
        <v>552</v>
      </c>
      <c r="H451" s="448"/>
      <c r="I451" s="58"/>
      <c r="J451" s="58"/>
      <c r="K451" s="58"/>
      <c r="L451" s="64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</row>
    <row r="452" spans="1:68" ht="25.25" customHeight="1">
      <c r="A452" s="678"/>
      <c r="B452" s="180" t="s">
        <v>382</v>
      </c>
      <c r="C452" s="262" t="s">
        <v>218</v>
      </c>
      <c r="D452" s="58">
        <v>450</v>
      </c>
      <c r="E452" s="182">
        <v>390</v>
      </c>
      <c r="F452" s="138">
        <f t="shared" si="6"/>
        <v>0</v>
      </c>
      <c r="G452" s="375" t="s">
        <v>552</v>
      </c>
      <c r="H452" s="448"/>
      <c r="I452" s="58"/>
      <c r="J452" s="58"/>
      <c r="K452" s="58"/>
      <c r="L452" s="64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</row>
    <row r="453" spans="1:68" ht="25.25" customHeight="1">
      <c r="A453" s="678"/>
      <c r="B453" s="180" t="s">
        <v>383</v>
      </c>
      <c r="C453" s="262" t="s">
        <v>218</v>
      </c>
      <c r="D453" s="58">
        <v>450</v>
      </c>
      <c r="E453" s="182">
        <v>390</v>
      </c>
      <c r="F453" s="138">
        <f t="shared" ref="F453:F516" si="7">SUM(I453:BP453)</f>
        <v>0</v>
      </c>
      <c r="G453" s="375" t="s">
        <v>552</v>
      </c>
      <c r="H453" s="448"/>
      <c r="I453" s="58"/>
      <c r="J453" s="58"/>
      <c r="K453" s="58"/>
      <c r="L453" s="64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</row>
    <row r="454" spans="1:68" ht="25.25" customHeight="1">
      <c r="A454" s="678"/>
      <c r="B454" s="180" t="s">
        <v>384</v>
      </c>
      <c r="C454" s="262" t="s">
        <v>218</v>
      </c>
      <c r="D454" s="58">
        <v>450</v>
      </c>
      <c r="E454" s="182">
        <v>390</v>
      </c>
      <c r="F454" s="138">
        <f t="shared" si="7"/>
        <v>0</v>
      </c>
      <c r="G454" s="375" t="s">
        <v>552</v>
      </c>
      <c r="H454" s="448"/>
      <c r="I454" s="58"/>
      <c r="J454" s="58"/>
      <c r="K454" s="58"/>
      <c r="L454" s="64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</row>
    <row r="455" spans="1:68" ht="25.25" customHeight="1">
      <c r="A455" s="678"/>
      <c r="B455" s="428" t="s">
        <v>554</v>
      </c>
      <c r="C455" s="429" t="s">
        <v>553</v>
      </c>
      <c r="D455" s="184">
        <v>450</v>
      </c>
      <c r="E455" s="55">
        <v>390</v>
      </c>
      <c r="F455" s="140">
        <f t="shared" si="7"/>
        <v>0</v>
      </c>
      <c r="G455" s="375" t="s">
        <v>552</v>
      </c>
      <c r="H455" s="448"/>
      <c r="I455" s="58"/>
      <c r="J455" s="58"/>
      <c r="K455" s="58"/>
      <c r="L455" s="64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</row>
    <row r="456" spans="1:68" ht="25.25" customHeight="1">
      <c r="A456" s="678"/>
      <c r="B456" s="631"/>
      <c r="C456" s="271"/>
      <c r="D456" s="58"/>
      <c r="E456" s="182"/>
      <c r="F456" s="138">
        <f t="shared" si="7"/>
        <v>0</v>
      </c>
      <c r="G456" s="371"/>
      <c r="H456" s="448"/>
      <c r="I456" s="58"/>
      <c r="J456" s="58"/>
      <c r="K456" s="58"/>
      <c r="L456" s="64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</row>
    <row r="457" spans="1:68" ht="25.25" customHeight="1" thickBot="1">
      <c r="A457" s="679"/>
      <c r="B457" s="628"/>
      <c r="C457" s="629"/>
      <c r="D457" s="630"/>
      <c r="E457" s="108"/>
      <c r="F457" s="231">
        <f t="shared" si="7"/>
        <v>0</v>
      </c>
      <c r="G457" s="386"/>
      <c r="H457" s="448"/>
      <c r="I457" s="58"/>
      <c r="J457" s="58"/>
      <c r="K457" s="58"/>
      <c r="L457" s="64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</row>
    <row r="458" spans="1:68" ht="34.25" customHeight="1">
      <c r="A458" s="669" t="s">
        <v>557</v>
      </c>
      <c r="B458" s="197" t="s">
        <v>389</v>
      </c>
      <c r="C458" s="272" t="s">
        <v>79</v>
      </c>
      <c r="D458" s="198">
        <v>125</v>
      </c>
      <c r="E458" s="199">
        <v>115</v>
      </c>
      <c r="F458" s="235">
        <f t="shared" si="7"/>
        <v>0</v>
      </c>
      <c r="G458" s="387"/>
      <c r="H458" s="448"/>
      <c r="I458" s="58"/>
      <c r="J458" s="58"/>
      <c r="K458" s="58"/>
      <c r="L458" s="64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</row>
    <row r="459" spans="1:68" ht="27.65" customHeight="1">
      <c r="A459" s="670"/>
      <c r="B459" s="83" t="s">
        <v>390</v>
      </c>
      <c r="C459" s="272" t="s">
        <v>79</v>
      </c>
      <c r="D459" s="184">
        <v>125</v>
      </c>
      <c r="E459" s="55">
        <v>115</v>
      </c>
      <c r="F459" s="140">
        <f t="shared" si="7"/>
        <v>0</v>
      </c>
      <c r="G459" s="381"/>
      <c r="H459" s="448"/>
      <c r="I459" s="58"/>
      <c r="J459" s="58"/>
      <c r="K459" s="58"/>
      <c r="L459" s="64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</row>
    <row r="460" spans="1:68" ht="28.25" customHeight="1">
      <c r="A460" s="670"/>
      <c r="B460" s="82" t="s">
        <v>391</v>
      </c>
      <c r="C460" s="272" t="s">
        <v>79</v>
      </c>
      <c r="D460" s="184">
        <v>125</v>
      </c>
      <c r="E460" s="55">
        <v>115</v>
      </c>
      <c r="F460" s="140">
        <f t="shared" si="7"/>
        <v>0</v>
      </c>
      <c r="G460" s="388"/>
      <c r="H460" s="448"/>
      <c r="I460" s="58"/>
      <c r="J460" s="58"/>
      <c r="K460" s="58"/>
      <c r="L460" s="64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</row>
    <row r="461" spans="1:68" ht="28.25" customHeight="1">
      <c r="A461" s="670"/>
      <c r="B461" s="259" t="s">
        <v>392</v>
      </c>
      <c r="C461" s="272" t="s">
        <v>79</v>
      </c>
      <c r="D461" s="58">
        <v>125</v>
      </c>
      <c r="E461" s="182">
        <v>115</v>
      </c>
      <c r="F461" s="138">
        <f t="shared" si="7"/>
        <v>0</v>
      </c>
      <c r="G461" s="377"/>
      <c r="H461" s="448"/>
      <c r="I461" s="58"/>
      <c r="J461" s="58"/>
      <c r="K461" s="58"/>
      <c r="L461" s="64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</row>
    <row r="462" spans="1:68" ht="28.25" customHeight="1">
      <c r="A462" s="670"/>
      <c r="B462" s="188" t="s">
        <v>426</v>
      </c>
      <c r="C462" s="271" t="s">
        <v>353</v>
      </c>
      <c r="D462" s="58">
        <v>1000</v>
      </c>
      <c r="E462" s="182">
        <v>800</v>
      </c>
      <c r="F462" s="138">
        <f t="shared" si="7"/>
        <v>0</v>
      </c>
      <c r="G462" s="389"/>
      <c r="H462" s="448"/>
      <c r="I462" s="58"/>
      <c r="J462" s="58"/>
      <c r="K462" s="58"/>
      <c r="L462" s="64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</row>
    <row r="463" spans="1:68" ht="28.25" customHeight="1">
      <c r="A463" s="670"/>
      <c r="B463" s="188" t="s">
        <v>425</v>
      </c>
      <c r="C463" s="271" t="s">
        <v>353</v>
      </c>
      <c r="D463" s="58">
        <v>1000</v>
      </c>
      <c r="E463" s="55">
        <v>800</v>
      </c>
      <c r="F463" s="140">
        <f t="shared" si="7"/>
        <v>0</v>
      </c>
      <c r="G463" s="389"/>
      <c r="H463" s="448"/>
      <c r="I463" s="58"/>
      <c r="J463" s="58"/>
      <c r="K463" s="58"/>
      <c r="L463" s="64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</row>
    <row r="464" spans="1:68" ht="28.25" customHeight="1">
      <c r="A464" s="670"/>
      <c r="B464" s="188" t="s">
        <v>421</v>
      </c>
      <c r="C464" s="271" t="s">
        <v>353</v>
      </c>
      <c r="D464" s="58">
        <v>1000</v>
      </c>
      <c r="E464" s="55">
        <v>800</v>
      </c>
      <c r="F464" s="140">
        <f t="shared" si="7"/>
        <v>0</v>
      </c>
      <c r="G464" s="389"/>
      <c r="H464" s="448"/>
      <c r="I464" s="58"/>
      <c r="J464" s="58"/>
      <c r="K464" s="58"/>
      <c r="L464" s="64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</row>
    <row r="465" spans="1:68" ht="28.25" customHeight="1">
      <c r="A465" s="670"/>
      <c r="B465" s="188" t="s">
        <v>422</v>
      </c>
      <c r="C465" s="271" t="s">
        <v>353</v>
      </c>
      <c r="D465" s="58">
        <v>1000</v>
      </c>
      <c r="E465" s="55">
        <v>800</v>
      </c>
      <c r="F465" s="140">
        <f t="shared" si="7"/>
        <v>0</v>
      </c>
      <c r="G465" s="389"/>
      <c r="H465" s="448"/>
      <c r="I465" s="58"/>
      <c r="J465" s="58"/>
      <c r="K465" s="58"/>
      <c r="L465" s="64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</row>
    <row r="466" spans="1:68" ht="28.25" customHeight="1">
      <c r="A466" s="670"/>
      <c r="B466" s="188" t="s">
        <v>423</v>
      </c>
      <c r="C466" s="271" t="s">
        <v>353</v>
      </c>
      <c r="D466" s="58">
        <v>1000</v>
      </c>
      <c r="E466" s="55">
        <v>800</v>
      </c>
      <c r="F466" s="140">
        <f t="shared" si="7"/>
        <v>0</v>
      </c>
      <c r="G466" s="389"/>
      <c r="H466" s="448"/>
      <c r="I466" s="58"/>
      <c r="J466" s="58"/>
      <c r="K466" s="58"/>
      <c r="L466" s="64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</row>
    <row r="467" spans="1:68" ht="28.25" customHeight="1">
      <c r="A467" s="670"/>
      <c r="B467" s="188" t="s">
        <v>424</v>
      </c>
      <c r="C467" s="271" t="s">
        <v>353</v>
      </c>
      <c r="D467" s="58">
        <v>1000</v>
      </c>
      <c r="E467" s="55">
        <v>800</v>
      </c>
      <c r="F467" s="140">
        <f t="shared" si="7"/>
        <v>0</v>
      </c>
      <c r="G467" s="389"/>
      <c r="H467" s="448"/>
      <c r="I467" s="58"/>
      <c r="J467" s="58"/>
      <c r="K467" s="58"/>
      <c r="L467" s="64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</row>
    <row r="468" spans="1:68" ht="25.25" customHeight="1" thickBot="1">
      <c r="A468" s="671"/>
      <c r="B468" s="79"/>
      <c r="C468" s="282"/>
      <c r="D468" s="100"/>
      <c r="E468" s="54"/>
      <c r="F468" s="141">
        <f t="shared" si="7"/>
        <v>0</v>
      </c>
      <c r="G468" s="349"/>
      <c r="H468" s="448"/>
      <c r="I468" s="58"/>
      <c r="J468" s="58"/>
      <c r="K468" s="58"/>
      <c r="L468" s="64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</row>
    <row r="469" spans="1:68" ht="25.25" customHeight="1">
      <c r="A469" s="717" t="s">
        <v>198</v>
      </c>
      <c r="B469" s="82" t="s">
        <v>297</v>
      </c>
      <c r="C469" s="272" t="s">
        <v>13</v>
      </c>
      <c r="D469" s="58">
        <v>350</v>
      </c>
      <c r="E469" s="182">
        <v>275</v>
      </c>
      <c r="F469" s="138">
        <f t="shared" si="7"/>
        <v>0</v>
      </c>
      <c r="G469" s="382" t="s">
        <v>153</v>
      </c>
      <c r="H469" s="454"/>
      <c r="I469" s="64"/>
      <c r="J469" s="58"/>
      <c r="K469" s="58"/>
      <c r="L469" s="64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</row>
    <row r="470" spans="1:68" ht="25.25" customHeight="1">
      <c r="A470" s="718"/>
      <c r="B470" s="82" t="s">
        <v>298</v>
      </c>
      <c r="C470" s="272" t="s">
        <v>13</v>
      </c>
      <c r="D470" s="58">
        <v>350</v>
      </c>
      <c r="E470" s="182">
        <v>275</v>
      </c>
      <c r="F470" s="138">
        <f t="shared" si="7"/>
        <v>0</v>
      </c>
      <c r="G470" s="382" t="s">
        <v>153</v>
      </c>
      <c r="H470" s="448"/>
      <c r="I470" s="64"/>
      <c r="J470" s="58"/>
      <c r="K470" s="58"/>
      <c r="L470" s="64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</row>
    <row r="471" spans="1:68" ht="25.25" customHeight="1">
      <c r="A471" s="718"/>
      <c r="B471" s="82" t="s">
        <v>299</v>
      </c>
      <c r="C471" s="272" t="s">
        <v>13</v>
      </c>
      <c r="D471" s="58">
        <v>350</v>
      </c>
      <c r="E471" s="182">
        <v>275</v>
      </c>
      <c r="F471" s="138">
        <f t="shared" si="7"/>
        <v>0</v>
      </c>
      <c r="G471" s="382" t="s">
        <v>153</v>
      </c>
      <c r="H471" s="448"/>
      <c r="I471" s="64"/>
      <c r="J471" s="58"/>
      <c r="K471" s="58"/>
      <c r="L471" s="64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</row>
    <row r="472" spans="1:68" ht="25.25" customHeight="1">
      <c r="A472" s="719"/>
      <c r="B472" s="146" t="s">
        <v>300</v>
      </c>
      <c r="C472" s="272" t="s">
        <v>13</v>
      </c>
      <c r="D472" s="58">
        <v>400</v>
      </c>
      <c r="E472" s="161">
        <v>290</v>
      </c>
      <c r="F472" s="232">
        <f t="shared" si="7"/>
        <v>0</v>
      </c>
      <c r="G472" s="382" t="s">
        <v>153</v>
      </c>
      <c r="H472" s="448"/>
      <c r="I472" s="64"/>
      <c r="J472" s="58"/>
      <c r="K472" s="58"/>
      <c r="L472" s="64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</row>
    <row r="473" spans="1:68" ht="25.25" customHeight="1">
      <c r="A473" s="719"/>
      <c r="B473" s="146" t="s">
        <v>301</v>
      </c>
      <c r="C473" s="272" t="s">
        <v>13</v>
      </c>
      <c r="D473" s="58">
        <v>400</v>
      </c>
      <c r="E473" s="55">
        <v>290</v>
      </c>
      <c r="F473" s="140">
        <f t="shared" si="7"/>
        <v>0</v>
      </c>
      <c r="G473" s="382" t="s">
        <v>153</v>
      </c>
      <c r="H473" s="448"/>
      <c r="I473" s="64"/>
      <c r="J473" s="58"/>
      <c r="K473" s="58"/>
      <c r="L473" s="64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</row>
    <row r="474" spans="1:68" ht="25.25" customHeight="1">
      <c r="A474" s="719"/>
      <c r="B474" s="146" t="s">
        <v>302</v>
      </c>
      <c r="C474" s="272" t="s">
        <v>13</v>
      </c>
      <c r="D474" s="58">
        <v>400</v>
      </c>
      <c r="E474" s="55">
        <v>290</v>
      </c>
      <c r="F474" s="140">
        <f t="shared" si="7"/>
        <v>0</v>
      </c>
      <c r="G474" s="382" t="s">
        <v>153</v>
      </c>
      <c r="H474" s="448"/>
      <c r="I474" s="64"/>
      <c r="J474" s="58"/>
      <c r="K474" s="58"/>
      <c r="L474" s="64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</row>
    <row r="475" spans="1:68" ht="25.25" customHeight="1">
      <c r="A475" s="719"/>
      <c r="B475" s="146" t="s">
        <v>303</v>
      </c>
      <c r="C475" s="272" t="s">
        <v>13</v>
      </c>
      <c r="D475" s="58">
        <v>400</v>
      </c>
      <c r="E475" s="55">
        <v>290</v>
      </c>
      <c r="F475" s="140">
        <f t="shared" si="7"/>
        <v>0</v>
      </c>
      <c r="G475" s="382" t="s">
        <v>153</v>
      </c>
      <c r="H475" s="448"/>
      <c r="I475" s="64"/>
      <c r="J475" s="58"/>
      <c r="K475" s="58"/>
      <c r="L475" s="64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</row>
    <row r="476" spans="1:68" ht="25.25" customHeight="1">
      <c r="A476" s="719"/>
      <c r="B476" s="146" t="s">
        <v>304</v>
      </c>
      <c r="C476" s="272" t="s">
        <v>13</v>
      </c>
      <c r="D476" s="58">
        <v>400</v>
      </c>
      <c r="E476" s="55">
        <v>290</v>
      </c>
      <c r="F476" s="140">
        <f t="shared" si="7"/>
        <v>0</v>
      </c>
      <c r="G476" s="382" t="s">
        <v>153</v>
      </c>
      <c r="H476" s="448"/>
      <c r="I476" s="64"/>
      <c r="J476" s="58"/>
      <c r="K476" s="58"/>
      <c r="L476" s="64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</row>
    <row r="477" spans="1:68" ht="25.25" customHeight="1">
      <c r="A477" s="719"/>
      <c r="B477" s="146" t="s">
        <v>305</v>
      </c>
      <c r="C477" s="272" t="s">
        <v>13</v>
      </c>
      <c r="D477" s="58">
        <v>400</v>
      </c>
      <c r="E477" s="55">
        <v>290</v>
      </c>
      <c r="F477" s="140">
        <f t="shared" si="7"/>
        <v>0</v>
      </c>
      <c r="G477" s="382" t="s">
        <v>153</v>
      </c>
      <c r="H477" s="448"/>
      <c r="I477" s="64"/>
      <c r="J477" s="58"/>
      <c r="K477" s="58"/>
      <c r="L477" s="64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</row>
    <row r="478" spans="1:68" ht="25.25" customHeight="1">
      <c r="A478" s="719"/>
      <c r="B478" s="146" t="s">
        <v>306</v>
      </c>
      <c r="C478" s="272" t="s">
        <v>13</v>
      </c>
      <c r="D478" s="58">
        <v>400</v>
      </c>
      <c r="E478" s="55">
        <v>290</v>
      </c>
      <c r="F478" s="140">
        <f t="shared" si="7"/>
        <v>0</v>
      </c>
      <c r="G478" s="382" t="s">
        <v>153</v>
      </c>
      <c r="H478" s="448"/>
      <c r="I478" s="64"/>
      <c r="J478" s="58"/>
      <c r="K478" s="58"/>
      <c r="L478" s="64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</row>
    <row r="479" spans="1:68" ht="25.25" customHeight="1">
      <c r="A479" s="719"/>
      <c r="B479" s="146" t="s">
        <v>307</v>
      </c>
      <c r="C479" s="272" t="s">
        <v>13</v>
      </c>
      <c r="D479" s="58">
        <v>400</v>
      </c>
      <c r="E479" s="55">
        <v>290</v>
      </c>
      <c r="F479" s="140">
        <f t="shared" si="7"/>
        <v>0</v>
      </c>
      <c r="G479" s="382" t="s">
        <v>153</v>
      </c>
      <c r="H479" s="448"/>
      <c r="I479" s="64"/>
      <c r="J479" s="58"/>
      <c r="K479" s="58"/>
      <c r="L479" s="64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</row>
    <row r="480" spans="1:68" ht="25.25" customHeight="1">
      <c r="A480" s="719"/>
      <c r="B480" s="146" t="s">
        <v>308</v>
      </c>
      <c r="C480" s="272" t="s">
        <v>13</v>
      </c>
      <c r="D480" s="58">
        <v>400</v>
      </c>
      <c r="E480" s="55">
        <v>290</v>
      </c>
      <c r="F480" s="140">
        <f t="shared" si="7"/>
        <v>0</v>
      </c>
      <c r="G480" s="382" t="s">
        <v>153</v>
      </c>
      <c r="H480" s="448"/>
      <c r="I480" s="64"/>
      <c r="J480" s="58"/>
      <c r="K480" s="58"/>
      <c r="L480" s="64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</row>
    <row r="481" spans="1:68" ht="25.25" customHeight="1">
      <c r="A481" s="719"/>
      <c r="B481" s="146" t="s">
        <v>309</v>
      </c>
      <c r="C481" s="272" t="s">
        <v>13</v>
      </c>
      <c r="D481" s="58">
        <v>400</v>
      </c>
      <c r="E481" s="55">
        <v>290</v>
      </c>
      <c r="F481" s="140">
        <f t="shared" si="7"/>
        <v>0</v>
      </c>
      <c r="G481" s="382" t="s">
        <v>153</v>
      </c>
      <c r="H481" s="448"/>
      <c r="I481" s="64"/>
      <c r="J481" s="58"/>
      <c r="K481" s="58"/>
      <c r="L481" s="64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</row>
    <row r="482" spans="1:68" ht="25.25" customHeight="1">
      <c r="A482" s="719"/>
      <c r="B482" s="146" t="s">
        <v>310</v>
      </c>
      <c r="C482" s="272" t="s">
        <v>13</v>
      </c>
      <c r="D482" s="58">
        <v>400</v>
      </c>
      <c r="E482" s="55">
        <v>290</v>
      </c>
      <c r="F482" s="140">
        <f t="shared" si="7"/>
        <v>0</v>
      </c>
      <c r="G482" s="382" t="s">
        <v>153</v>
      </c>
      <c r="H482" s="448"/>
      <c r="I482" s="64"/>
      <c r="J482" s="58"/>
      <c r="K482" s="58"/>
      <c r="L482" s="64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</row>
    <row r="483" spans="1:68" ht="25.25" customHeight="1">
      <c r="A483" s="719"/>
      <c r="B483" s="146" t="s">
        <v>311</v>
      </c>
      <c r="C483" s="272" t="s">
        <v>13</v>
      </c>
      <c r="D483" s="58">
        <v>400</v>
      </c>
      <c r="E483" s="55">
        <v>290</v>
      </c>
      <c r="F483" s="140">
        <f t="shared" si="7"/>
        <v>0</v>
      </c>
      <c r="G483" s="382" t="s">
        <v>153</v>
      </c>
      <c r="H483" s="448"/>
      <c r="I483" s="64"/>
      <c r="J483" s="58"/>
      <c r="K483" s="58"/>
      <c r="L483" s="64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</row>
    <row r="484" spans="1:68" ht="25.25" customHeight="1">
      <c r="A484" s="719"/>
      <c r="B484" s="146" t="s">
        <v>312</v>
      </c>
      <c r="C484" s="272" t="s">
        <v>13</v>
      </c>
      <c r="D484" s="58">
        <v>400</v>
      </c>
      <c r="E484" s="55">
        <v>290</v>
      </c>
      <c r="F484" s="140">
        <f t="shared" si="7"/>
        <v>0</v>
      </c>
      <c r="G484" s="382" t="s">
        <v>153</v>
      </c>
      <c r="H484" s="448"/>
      <c r="I484" s="64"/>
      <c r="J484" s="58"/>
      <c r="K484" s="58"/>
      <c r="L484" s="64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</row>
    <row r="485" spans="1:68" ht="25.25" customHeight="1">
      <c r="A485" s="719"/>
      <c r="B485" s="146" t="s">
        <v>313</v>
      </c>
      <c r="C485" s="272" t="s">
        <v>13</v>
      </c>
      <c r="D485" s="58">
        <v>400</v>
      </c>
      <c r="E485" s="55">
        <v>290</v>
      </c>
      <c r="F485" s="140">
        <f t="shared" si="7"/>
        <v>0</v>
      </c>
      <c r="G485" s="382" t="s">
        <v>153</v>
      </c>
      <c r="H485" s="448"/>
      <c r="I485" s="64"/>
      <c r="J485" s="58"/>
      <c r="K485" s="58"/>
      <c r="L485" s="64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</row>
    <row r="486" spans="1:68" ht="25.25" customHeight="1">
      <c r="A486" s="719"/>
      <c r="B486" s="146" t="s">
        <v>314</v>
      </c>
      <c r="C486" s="272" t="s">
        <v>13</v>
      </c>
      <c r="D486" s="58">
        <v>400</v>
      </c>
      <c r="E486" s="55">
        <v>290</v>
      </c>
      <c r="F486" s="140">
        <f t="shared" si="7"/>
        <v>0</v>
      </c>
      <c r="G486" s="382" t="s">
        <v>153</v>
      </c>
      <c r="H486" s="448"/>
      <c r="I486" s="64"/>
      <c r="J486" s="58"/>
      <c r="K486" s="58"/>
      <c r="L486" s="64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</row>
    <row r="487" spans="1:68" ht="25.25" customHeight="1">
      <c r="A487" s="719"/>
      <c r="B487" s="146" t="s">
        <v>315</v>
      </c>
      <c r="C487" s="272" t="s">
        <v>13</v>
      </c>
      <c r="D487" s="58">
        <v>400</v>
      </c>
      <c r="E487" s="55">
        <v>290</v>
      </c>
      <c r="F487" s="140">
        <f t="shared" si="7"/>
        <v>0</v>
      </c>
      <c r="G487" s="382" t="s">
        <v>153</v>
      </c>
      <c r="H487" s="448"/>
      <c r="I487" s="64"/>
      <c r="J487" s="58"/>
      <c r="K487" s="58"/>
      <c r="L487" s="64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</row>
    <row r="488" spans="1:68" ht="25.25" customHeight="1">
      <c r="A488" s="719"/>
      <c r="B488" s="146" t="s">
        <v>316</v>
      </c>
      <c r="C488" s="272" t="s">
        <v>13</v>
      </c>
      <c r="D488" s="58">
        <v>400</v>
      </c>
      <c r="E488" s="55">
        <v>290</v>
      </c>
      <c r="F488" s="140">
        <f t="shared" si="7"/>
        <v>0</v>
      </c>
      <c r="G488" s="382" t="s">
        <v>153</v>
      </c>
      <c r="H488" s="448"/>
      <c r="I488" s="64"/>
      <c r="J488" s="58"/>
      <c r="K488" s="58"/>
      <c r="L488" s="64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</row>
    <row r="489" spans="1:68" ht="25.25" customHeight="1">
      <c r="A489" s="719"/>
      <c r="B489" s="146" t="s">
        <v>317</v>
      </c>
      <c r="C489" s="272" t="s">
        <v>13</v>
      </c>
      <c r="D489" s="58">
        <v>400</v>
      </c>
      <c r="E489" s="55">
        <v>290</v>
      </c>
      <c r="F489" s="140">
        <f t="shared" si="7"/>
        <v>0</v>
      </c>
      <c r="G489" s="382" t="s">
        <v>153</v>
      </c>
      <c r="H489" s="448"/>
      <c r="I489" s="64"/>
      <c r="J489" s="58"/>
      <c r="K489" s="58"/>
      <c r="L489" s="64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</row>
    <row r="490" spans="1:68" ht="25.25" customHeight="1">
      <c r="A490" s="719"/>
      <c r="B490" s="146" t="s">
        <v>318</v>
      </c>
      <c r="C490" s="272" t="s">
        <v>13</v>
      </c>
      <c r="D490" s="58">
        <v>400</v>
      </c>
      <c r="E490" s="55">
        <v>290</v>
      </c>
      <c r="F490" s="140">
        <f t="shared" si="7"/>
        <v>0</v>
      </c>
      <c r="G490" s="382" t="s">
        <v>153</v>
      </c>
      <c r="H490" s="448"/>
      <c r="I490" s="64"/>
      <c r="J490" s="58"/>
      <c r="K490" s="58"/>
      <c r="L490" s="64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</row>
    <row r="491" spans="1:68" ht="25.25" customHeight="1">
      <c r="A491" s="719"/>
      <c r="B491" s="146" t="s">
        <v>319</v>
      </c>
      <c r="C491" s="272" t="s">
        <v>13</v>
      </c>
      <c r="D491" s="58">
        <v>400</v>
      </c>
      <c r="E491" s="55">
        <v>290</v>
      </c>
      <c r="F491" s="140">
        <f t="shared" si="7"/>
        <v>0</v>
      </c>
      <c r="G491" s="382" t="s">
        <v>153</v>
      </c>
      <c r="H491" s="448"/>
      <c r="I491" s="64"/>
      <c r="J491" s="58"/>
      <c r="K491" s="58"/>
      <c r="L491" s="64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</row>
    <row r="492" spans="1:68" ht="25.25" customHeight="1">
      <c r="A492" s="719"/>
      <c r="B492" s="146" t="s">
        <v>320</v>
      </c>
      <c r="C492" s="272" t="s">
        <v>13</v>
      </c>
      <c r="D492" s="58">
        <v>400</v>
      </c>
      <c r="E492" s="55">
        <v>290</v>
      </c>
      <c r="F492" s="140">
        <f t="shared" si="7"/>
        <v>0</v>
      </c>
      <c r="G492" s="382" t="s">
        <v>153</v>
      </c>
      <c r="H492" s="448"/>
      <c r="I492" s="64"/>
      <c r="J492" s="58"/>
      <c r="K492" s="58"/>
      <c r="L492" s="64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</row>
    <row r="493" spans="1:68" ht="25.25" customHeight="1">
      <c r="A493" s="719"/>
      <c r="B493" s="146" t="s">
        <v>321</v>
      </c>
      <c r="C493" s="272" t="s">
        <v>13</v>
      </c>
      <c r="D493" s="58">
        <v>400</v>
      </c>
      <c r="E493" s="55">
        <v>290</v>
      </c>
      <c r="F493" s="140">
        <f t="shared" si="7"/>
        <v>0</v>
      </c>
      <c r="G493" s="382" t="s">
        <v>153</v>
      </c>
      <c r="H493" s="448"/>
      <c r="I493" s="64"/>
      <c r="J493" s="58"/>
      <c r="K493" s="58"/>
      <c r="L493" s="64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</row>
    <row r="494" spans="1:68" ht="25.25" customHeight="1">
      <c r="A494" s="719"/>
      <c r="B494" s="146" t="s">
        <v>322</v>
      </c>
      <c r="C494" s="272" t="s">
        <v>13</v>
      </c>
      <c r="D494" s="58">
        <v>400</v>
      </c>
      <c r="E494" s="55">
        <v>290</v>
      </c>
      <c r="F494" s="140">
        <f t="shared" si="7"/>
        <v>0</v>
      </c>
      <c r="G494" s="382" t="s">
        <v>153</v>
      </c>
      <c r="H494" s="64"/>
      <c r="I494" s="64"/>
      <c r="J494" s="58"/>
      <c r="K494" s="58"/>
      <c r="L494" s="64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</row>
    <row r="495" spans="1:68" ht="25.25" customHeight="1">
      <c r="A495" s="718"/>
      <c r="B495" s="82" t="s">
        <v>323</v>
      </c>
      <c r="C495" s="284" t="s">
        <v>13</v>
      </c>
      <c r="D495" s="184">
        <v>400</v>
      </c>
      <c r="E495" s="55">
        <v>290</v>
      </c>
      <c r="F495" s="140">
        <f t="shared" si="7"/>
        <v>0</v>
      </c>
      <c r="G495" s="382" t="s">
        <v>153</v>
      </c>
      <c r="H495" s="448"/>
      <c r="I495" s="64"/>
      <c r="J495" s="58"/>
      <c r="K495" s="58"/>
      <c r="L495" s="64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</row>
    <row r="496" spans="1:68" ht="25.25" customHeight="1">
      <c r="A496" s="718"/>
      <c r="B496" s="82" t="s">
        <v>324</v>
      </c>
      <c r="C496" s="284" t="s">
        <v>13</v>
      </c>
      <c r="D496" s="184">
        <v>400</v>
      </c>
      <c r="E496" s="55">
        <v>290</v>
      </c>
      <c r="F496" s="140">
        <f t="shared" si="7"/>
        <v>0</v>
      </c>
      <c r="G496" s="382" t="s">
        <v>153</v>
      </c>
      <c r="H496" s="448"/>
      <c r="I496" s="64"/>
      <c r="J496" s="58"/>
      <c r="K496" s="58"/>
      <c r="L496" s="64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</row>
    <row r="497" spans="1:68" ht="25.25" customHeight="1">
      <c r="A497" s="718"/>
      <c r="B497" s="82" t="s">
        <v>325</v>
      </c>
      <c r="C497" s="284" t="s">
        <v>79</v>
      </c>
      <c r="D497" s="184">
        <v>400</v>
      </c>
      <c r="E497" s="55">
        <v>290</v>
      </c>
      <c r="F497" s="140">
        <f t="shared" si="7"/>
        <v>0</v>
      </c>
      <c r="G497" s="382" t="s">
        <v>153</v>
      </c>
      <c r="H497" s="448"/>
      <c r="I497" s="64"/>
      <c r="J497" s="58"/>
      <c r="K497" s="58"/>
      <c r="L497" s="64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</row>
    <row r="498" spans="1:68" ht="25.25" customHeight="1">
      <c r="A498" s="718"/>
      <c r="B498" s="82" t="s">
        <v>326</v>
      </c>
      <c r="C498" s="284" t="s">
        <v>79</v>
      </c>
      <c r="D498" s="184">
        <v>400</v>
      </c>
      <c r="E498" s="55">
        <v>290</v>
      </c>
      <c r="F498" s="140">
        <f t="shared" si="7"/>
        <v>0</v>
      </c>
      <c r="G498" s="382" t="s">
        <v>153</v>
      </c>
      <c r="H498" s="448"/>
      <c r="I498" s="64"/>
      <c r="J498" s="58"/>
      <c r="K498" s="58"/>
      <c r="L498" s="64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</row>
    <row r="499" spans="1:68" ht="25.25" customHeight="1">
      <c r="A499" s="718"/>
      <c r="B499" s="82" t="s">
        <v>327</v>
      </c>
      <c r="C499" s="284" t="s">
        <v>14</v>
      </c>
      <c r="D499" s="184">
        <v>400</v>
      </c>
      <c r="E499" s="55">
        <v>290</v>
      </c>
      <c r="F499" s="140">
        <f t="shared" si="7"/>
        <v>0</v>
      </c>
      <c r="G499" s="382" t="s">
        <v>153</v>
      </c>
      <c r="H499" s="448"/>
      <c r="I499" s="64"/>
      <c r="J499" s="58"/>
      <c r="K499" s="58"/>
      <c r="L499" s="64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</row>
    <row r="500" spans="1:68" ht="25.25" customHeight="1">
      <c r="A500" s="718"/>
      <c r="B500" s="82" t="s">
        <v>328</v>
      </c>
      <c r="C500" s="284" t="s">
        <v>14</v>
      </c>
      <c r="D500" s="184">
        <v>400</v>
      </c>
      <c r="E500" s="55">
        <v>290</v>
      </c>
      <c r="F500" s="140">
        <f t="shared" si="7"/>
        <v>0</v>
      </c>
      <c r="G500" s="382" t="s">
        <v>153</v>
      </c>
      <c r="H500" s="448"/>
      <c r="I500" s="64"/>
      <c r="J500" s="58"/>
      <c r="K500" s="58"/>
      <c r="L500" s="64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</row>
    <row r="501" spans="1:68" ht="25.25" customHeight="1">
      <c r="A501" s="718"/>
      <c r="B501" s="82" t="s">
        <v>329</v>
      </c>
      <c r="C501" s="284" t="s">
        <v>13</v>
      </c>
      <c r="D501" s="184">
        <v>400</v>
      </c>
      <c r="E501" s="55">
        <v>290</v>
      </c>
      <c r="F501" s="140">
        <f t="shared" si="7"/>
        <v>0</v>
      </c>
      <c r="G501" s="382" t="s">
        <v>153</v>
      </c>
      <c r="H501" s="448"/>
      <c r="I501" s="64"/>
      <c r="J501" s="58"/>
      <c r="K501" s="58"/>
      <c r="L501" s="64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</row>
    <row r="502" spans="1:68" ht="25.25" customHeight="1">
      <c r="A502" s="718"/>
      <c r="B502" s="82" t="s">
        <v>330</v>
      </c>
      <c r="C502" s="284" t="s">
        <v>13</v>
      </c>
      <c r="D502" s="184">
        <v>400</v>
      </c>
      <c r="E502" s="55">
        <v>290</v>
      </c>
      <c r="F502" s="140">
        <f t="shared" si="7"/>
        <v>0</v>
      </c>
      <c r="G502" s="382" t="s">
        <v>153</v>
      </c>
      <c r="H502" s="448"/>
      <c r="I502" s="64"/>
      <c r="J502" s="58"/>
      <c r="K502" s="58"/>
      <c r="L502" s="64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</row>
    <row r="503" spans="1:68" ht="25.25" customHeight="1">
      <c r="A503" s="718"/>
      <c r="B503" s="82" t="s">
        <v>331</v>
      </c>
      <c r="C503" s="284" t="s">
        <v>13</v>
      </c>
      <c r="D503" s="184">
        <v>400</v>
      </c>
      <c r="E503" s="55">
        <v>290</v>
      </c>
      <c r="F503" s="140">
        <f t="shared" si="7"/>
        <v>0</v>
      </c>
      <c r="G503" s="382" t="s">
        <v>153</v>
      </c>
      <c r="H503" s="448"/>
      <c r="I503" s="64"/>
      <c r="J503" s="58"/>
      <c r="K503" s="58"/>
      <c r="L503" s="64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</row>
    <row r="504" spans="1:68" ht="25.25" customHeight="1">
      <c r="A504" s="718"/>
      <c r="B504" s="82" t="s">
        <v>332</v>
      </c>
      <c r="C504" s="284" t="s">
        <v>13</v>
      </c>
      <c r="D504" s="184">
        <v>400</v>
      </c>
      <c r="E504" s="55">
        <v>290</v>
      </c>
      <c r="F504" s="140">
        <f t="shared" si="7"/>
        <v>0</v>
      </c>
      <c r="G504" s="382" t="s">
        <v>153</v>
      </c>
      <c r="H504" s="448"/>
      <c r="I504" s="64"/>
      <c r="J504" s="58"/>
      <c r="K504" s="58"/>
      <c r="L504" s="64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</row>
    <row r="505" spans="1:68" ht="25.25" customHeight="1">
      <c r="A505" s="718"/>
      <c r="B505" s="82" t="s">
        <v>333</v>
      </c>
      <c r="C505" s="284" t="s">
        <v>13</v>
      </c>
      <c r="D505" s="184">
        <v>400</v>
      </c>
      <c r="E505" s="55">
        <v>290</v>
      </c>
      <c r="F505" s="140">
        <f t="shared" si="7"/>
        <v>0</v>
      </c>
      <c r="G505" s="382" t="s">
        <v>153</v>
      </c>
      <c r="H505" s="448"/>
      <c r="I505" s="64"/>
      <c r="J505" s="58"/>
      <c r="K505" s="58"/>
      <c r="L505" s="64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</row>
    <row r="506" spans="1:68" ht="25.25" customHeight="1">
      <c r="A506" s="718"/>
      <c r="B506" s="82" t="s">
        <v>334</v>
      </c>
      <c r="C506" s="284" t="s">
        <v>13</v>
      </c>
      <c r="D506" s="184">
        <v>400</v>
      </c>
      <c r="E506" s="55">
        <v>290</v>
      </c>
      <c r="F506" s="140">
        <f t="shared" si="7"/>
        <v>0</v>
      </c>
      <c r="G506" s="382" t="s">
        <v>153</v>
      </c>
      <c r="H506" s="448"/>
      <c r="I506" s="64"/>
      <c r="J506" s="58"/>
      <c r="K506" s="58"/>
      <c r="L506" s="64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</row>
    <row r="507" spans="1:68" ht="25.25" customHeight="1">
      <c r="A507" s="718"/>
      <c r="B507" s="82" t="s">
        <v>335</v>
      </c>
      <c r="C507" s="284" t="s">
        <v>13</v>
      </c>
      <c r="D507" s="184">
        <v>400</v>
      </c>
      <c r="E507" s="55">
        <v>290</v>
      </c>
      <c r="F507" s="140">
        <f t="shared" si="7"/>
        <v>0</v>
      </c>
      <c r="G507" s="382" t="s">
        <v>153</v>
      </c>
      <c r="H507" s="448"/>
      <c r="I507" s="64"/>
      <c r="J507" s="58"/>
      <c r="K507" s="58"/>
      <c r="L507" s="64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</row>
    <row r="508" spans="1:68" ht="25.25" customHeight="1">
      <c r="A508" s="718"/>
      <c r="B508" s="82" t="s">
        <v>336</v>
      </c>
      <c r="C508" s="284" t="s">
        <v>13</v>
      </c>
      <c r="D508" s="184">
        <v>400</v>
      </c>
      <c r="E508" s="55">
        <v>290</v>
      </c>
      <c r="F508" s="140">
        <f t="shared" si="7"/>
        <v>0</v>
      </c>
      <c r="G508" s="382" t="s">
        <v>153</v>
      </c>
      <c r="H508" s="448"/>
      <c r="I508" s="64"/>
      <c r="J508" s="58"/>
      <c r="K508" s="58"/>
      <c r="L508" s="64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</row>
    <row r="509" spans="1:68" ht="25.25" customHeight="1">
      <c r="A509" s="718"/>
      <c r="B509" s="82" t="s">
        <v>337</v>
      </c>
      <c r="C509" s="284" t="s">
        <v>13</v>
      </c>
      <c r="D509" s="184">
        <v>400</v>
      </c>
      <c r="E509" s="55">
        <v>290</v>
      </c>
      <c r="F509" s="140">
        <f t="shared" si="7"/>
        <v>0</v>
      </c>
      <c r="G509" s="382" t="s">
        <v>153</v>
      </c>
      <c r="H509" s="448"/>
      <c r="I509" s="64"/>
      <c r="J509" s="58"/>
      <c r="K509" s="58"/>
      <c r="L509" s="64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</row>
    <row r="510" spans="1:68" ht="25.25" customHeight="1">
      <c r="A510" s="718"/>
      <c r="B510" s="82" t="s">
        <v>338</v>
      </c>
      <c r="C510" s="284" t="s">
        <v>13</v>
      </c>
      <c r="D510" s="184">
        <v>400</v>
      </c>
      <c r="E510" s="55">
        <v>290</v>
      </c>
      <c r="F510" s="140">
        <f t="shared" si="7"/>
        <v>0</v>
      </c>
      <c r="G510" s="382" t="s">
        <v>153</v>
      </c>
      <c r="H510" s="448"/>
      <c r="I510" s="64"/>
      <c r="J510" s="58"/>
      <c r="K510" s="58"/>
      <c r="L510" s="64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</row>
    <row r="511" spans="1:68" ht="25.25" customHeight="1">
      <c r="A511" s="718"/>
      <c r="B511" s="82" t="s">
        <v>231</v>
      </c>
      <c r="C511" s="272" t="s">
        <v>13</v>
      </c>
      <c r="D511" s="58">
        <v>200</v>
      </c>
      <c r="E511" s="182">
        <v>175</v>
      </c>
      <c r="F511" s="140">
        <f t="shared" si="7"/>
        <v>0</v>
      </c>
      <c r="G511" s="382" t="s">
        <v>153</v>
      </c>
      <c r="H511" s="448"/>
      <c r="I511" s="64"/>
      <c r="J511" s="58"/>
      <c r="K511" s="58"/>
      <c r="L511" s="64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</row>
    <row r="512" spans="1:68" ht="25.25" customHeight="1">
      <c r="A512" s="718"/>
      <c r="B512" s="82" t="s">
        <v>232</v>
      </c>
      <c r="C512" s="284" t="s">
        <v>13</v>
      </c>
      <c r="D512" s="184">
        <v>200</v>
      </c>
      <c r="E512" s="55">
        <v>175</v>
      </c>
      <c r="F512" s="140">
        <f t="shared" si="7"/>
        <v>0</v>
      </c>
      <c r="G512" s="382" t="s">
        <v>153</v>
      </c>
      <c r="H512" s="448"/>
      <c r="I512" s="64"/>
      <c r="J512" s="58"/>
      <c r="K512" s="58"/>
      <c r="L512" s="64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</row>
    <row r="513" spans="1:68" ht="25.25" customHeight="1">
      <c r="A513" s="718"/>
      <c r="B513" s="82" t="s">
        <v>233</v>
      </c>
      <c r="C513" s="284" t="s">
        <v>13</v>
      </c>
      <c r="D513" s="184">
        <v>200</v>
      </c>
      <c r="E513" s="55">
        <v>175</v>
      </c>
      <c r="F513" s="140">
        <f t="shared" si="7"/>
        <v>0</v>
      </c>
      <c r="G513" s="382" t="s">
        <v>153</v>
      </c>
      <c r="H513" s="448"/>
      <c r="I513" s="64"/>
      <c r="J513" s="58"/>
      <c r="K513" s="58"/>
      <c r="L513" s="64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</row>
    <row r="514" spans="1:68" ht="25.25" customHeight="1">
      <c r="A514" s="718"/>
      <c r="B514" s="82" t="s">
        <v>234</v>
      </c>
      <c r="C514" s="284" t="s">
        <v>15</v>
      </c>
      <c r="D514" s="184">
        <v>200</v>
      </c>
      <c r="E514" s="55">
        <v>175</v>
      </c>
      <c r="F514" s="140">
        <f t="shared" si="7"/>
        <v>0</v>
      </c>
      <c r="G514" s="382" t="s">
        <v>153</v>
      </c>
      <c r="H514" s="448"/>
      <c r="I514" s="64"/>
      <c r="J514" s="58"/>
      <c r="K514" s="58"/>
      <c r="L514" s="64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</row>
    <row r="515" spans="1:68" ht="25.25" customHeight="1">
      <c r="A515" s="718"/>
      <c r="B515" s="82" t="s">
        <v>235</v>
      </c>
      <c r="C515" s="284" t="s">
        <v>15</v>
      </c>
      <c r="D515" s="184">
        <v>200</v>
      </c>
      <c r="E515" s="55">
        <v>175</v>
      </c>
      <c r="F515" s="140">
        <f t="shared" si="7"/>
        <v>0</v>
      </c>
      <c r="G515" s="382" t="s">
        <v>153</v>
      </c>
      <c r="H515" s="448"/>
      <c r="I515" s="64"/>
      <c r="J515" s="58"/>
      <c r="K515" s="58"/>
      <c r="L515" s="64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</row>
    <row r="516" spans="1:68" ht="25.25" customHeight="1">
      <c r="A516" s="718"/>
      <c r="B516" s="83"/>
      <c r="C516" s="284"/>
      <c r="D516" s="184"/>
      <c r="E516" s="55"/>
      <c r="F516" s="140">
        <f t="shared" si="7"/>
        <v>0</v>
      </c>
      <c r="G516" s="372"/>
      <c r="H516" s="448"/>
      <c r="I516" s="64"/>
      <c r="J516" s="58"/>
      <c r="K516" s="58"/>
      <c r="L516" s="64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</row>
    <row r="517" spans="1:68" ht="25.25" customHeight="1">
      <c r="A517" s="718"/>
      <c r="B517" s="157" t="s">
        <v>239</v>
      </c>
      <c r="C517" s="284" t="s">
        <v>144</v>
      </c>
      <c r="D517" s="184">
        <v>250</v>
      </c>
      <c r="E517" s="55">
        <v>225</v>
      </c>
      <c r="F517" s="140">
        <f t="shared" ref="F517:F581" si="8">SUM(I517:BP517)</f>
        <v>0</v>
      </c>
      <c r="G517" s="335" t="s">
        <v>480</v>
      </c>
      <c r="H517" s="448"/>
      <c r="I517" s="64"/>
      <c r="J517" s="58"/>
      <c r="K517" s="58"/>
      <c r="L517" s="64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</row>
    <row r="518" spans="1:68" ht="25.25" customHeight="1">
      <c r="A518" s="718"/>
      <c r="B518" s="155" t="s">
        <v>238</v>
      </c>
      <c r="C518" s="284" t="s">
        <v>143</v>
      </c>
      <c r="D518" s="184">
        <v>250</v>
      </c>
      <c r="E518" s="55">
        <v>225</v>
      </c>
      <c r="F518" s="140">
        <f t="shared" si="8"/>
        <v>0</v>
      </c>
      <c r="G518" s="334" t="s">
        <v>480</v>
      </c>
      <c r="H518" s="448"/>
      <c r="I518" s="64"/>
      <c r="J518" s="58"/>
      <c r="K518" s="58"/>
      <c r="L518" s="64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</row>
    <row r="519" spans="1:68" ht="25.25" customHeight="1">
      <c r="A519" s="718"/>
      <c r="B519" s="158" t="s">
        <v>237</v>
      </c>
      <c r="C519" s="284" t="s">
        <v>143</v>
      </c>
      <c r="D519" s="184">
        <v>250</v>
      </c>
      <c r="E519" s="55">
        <v>225</v>
      </c>
      <c r="F519" s="140">
        <f t="shared" si="8"/>
        <v>0</v>
      </c>
      <c r="G519" s="334" t="s">
        <v>480</v>
      </c>
      <c r="H519" s="448"/>
      <c r="I519" s="64"/>
      <c r="J519" s="58"/>
      <c r="K519" s="58"/>
      <c r="L519" s="64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</row>
    <row r="520" spans="1:68" ht="25.25" customHeight="1">
      <c r="A520" s="718"/>
      <c r="B520" s="114" t="s">
        <v>236</v>
      </c>
      <c r="C520" s="284" t="s">
        <v>143</v>
      </c>
      <c r="D520" s="184">
        <v>250</v>
      </c>
      <c r="E520" s="55">
        <v>225</v>
      </c>
      <c r="F520" s="140">
        <f t="shared" si="8"/>
        <v>0</v>
      </c>
      <c r="G520" s="334" t="s">
        <v>480</v>
      </c>
      <c r="H520" s="448"/>
      <c r="I520" s="64"/>
      <c r="J520" s="58"/>
      <c r="K520" s="58"/>
      <c r="L520" s="64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</row>
    <row r="521" spans="1:68" ht="25.25" customHeight="1">
      <c r="A521" s="718"/>
      <c r="B521" s="116" t="s">
        <v>240</v>
      </c>
      <c r="C521" s="284" t="s">
        <v>143</v>
      </c>
      <c r="D521" s="184">
        <v>250</v>
      </c>
      <c r="E521" s="55">
        <v>225</v>
      </c>
      <c r="F521" s="140">
        <f t="shared" si="8"/>
        <v>0</v>
      </c>
      <c r="G521" s="334" t="s">
        <v>480</v>
      </c>
      <c r="H521" s="448"/>
      <c r="I521" s="64"/>
      <c r="J521" s="58"/>
      <c r="K521" s="58"/>
      <c r="L521" s="64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</row>
    <row r="522" spans="1:68" ht="25.25" customHeight="1">
      <c r="A522" s="718"/>
      <c r="B522" s="143" t="s">
        <v>241</v>
      </c>
      <c r="C522" s="284" t="s">
        <v>143</v>
      </c>
      <c r="D522" s="184">
        <v>250</v>
      </c>
      <c r="E522" s="55">
        <v>225</v>
      </c>
      <c r="F522" s="140">
        <f t="shared" si="8"/>
        <v>0</v>
      </c>
      <c r="G522" s="383" t="s">
        <v>480</v>
      </c>
      <c r="H522" s="448"/>
      <c r="I522" s="64"/>
      <c r="J522" s="58"/>
      <c r="K522" s="58"/>
      <c r="L522" s="64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</row>
    <row r="523" spans="1:68" ht="25.25" customHeight="1">
      <c r="A523" s="718"/>
      <c r="B523" s="86" t="s">
        <v>242</v>
      </c>
      <c r="C523" s="284" t="s">
        <v>143</v>
      </c>
      <c r="D523" s="184">
        <v>250</v>
      </c>
      <c r="E523" s="55">
        <v>225</v>
      </c>
      <c r="F523" s="140">
        <f t="shared" si="8"/>
        <v>0</v>
      </c>
      <c r="G523" s="335" t="s">
        <v>480</v>
      </c>
      <c r="H523" s="448"/>
      <c r="I523" s="64"/>
      <c r="J523" s="58"/>
      <c r="K523" s="58"/>
      <c r="L523" s="64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</row>
    <row r="524" spans="1:68" ht="25.25" customHeight="1">
      <c r="A524" s="718"/>
      <c r="B524" s="144" t="s">
        <v>243</v>
      </c>
      <c r="C524" s="284" t="s">
        <v>143</v>
      </c>
      <c r="D524" s="184">
        <v>250</v>
      </c>
      <c r="E524" s="55">
        <v>225</v>
      </c>
      <c r="F524" s="140">
        <f t="shared" si="8"/>
        <v>0</v>
      </c>
      <c r="G524" s="334" t="s">
        <v>480</v>
      </c>
      <c r="H524" s="448"/>
      <c r="I524" s="64"/>
      <c r="J524" s="58"/>
      <c r="K524" s="58"/>
      <c r="L524" s="64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</row>
    <row r="525" spans="1:68" ht="25.25" customHeight="1">
      <c r="A525" s="718"/>
      <c r="B525" s="142" t="s">
        <v>244</v>
      </c>
      <c r="C525" s="284" t="s">
        <v>143</v>
      </c>
      <c r="D525" s="184">
        <v>250</v>
      </c>
      <c r="E525" s="55">
        <v>225</v>
      </c>
      <c r="F525" s="140">
        <f t="shared" si="8"/>
        <v>0</v>
      </c>
      <c r="G525" s="334" t="s">
        <v>480</v>
      </c>
      <c r="H525" s="448"/>
      <c r="I525" s="64"/>
      <c r="J525" s="58"/>
      <c r="K525" s="58"/>
      <c r="L525" s="64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</row>
    <row r="526" spans="1:68" ht="25.25" customHeight="1">
      <c r="A526" s="718"/>
      <c r="B526" s="156" t="s">
        <v>245</v>
      </c>
      <c r="C526" s="284" t="s">
        <v>143</v>
      </c>
      <c r="D526" s="184">
        <v>250</v>
      </c>
      <c r="E526" s="55">
        <v>225</v>
      </c>
      <c r="F526" s="140">
        <f t="shared" si="8"/>
        <v>0</v>
      </c>
      <c r="G526" s="383" t="s">
        <v>480</v>
      </c>
      <c r="H526" s="448"/>
      <c r="I526" s="64"/>
      <c r="J526" s="58"/>
      <c r="K526" s="58"/>
      <c r="L526" s="64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</row>
    <row r="527" spans="1:68" ht="25.25" customHeight="1">
      <c r="A527" s="718"/>
      <c r="B527" s="83"/>
      <c r="C527" s="284"/>
      <c r="D527" s="184"/>
      <c r="E527" s="55"/>
      <c r="F527" s="140">
        <f t="shared" si="8"/>
        <v>0</v>
      </c>
      <c r="G527" s="372"/>
      <c r="H527" s="448"/>
      <c r="I527" s="64"/>
      <c r="J527" s="58"/>
      <c r="K527" s="58"/>
      <c r="L527" s="64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</row>
    <row r="528" spans="1:68" ht="25.25" customHeight="1" thickBot="1">
      <c r="A528" s="720"/>
      <c r="B528" s="79"/>
      <c r="C528" s="282"/>
      <c r="D528" s="100"/>
      <c r="E528" s="54"/>
      <c r="F528" s="141">
        <f t="shared" si="8"/>
        <v>0</v>
      </c>
      <c r="G528" s="349"/>
      <c r="H528" s="448"/>
      <c r="I528" s="64"/>
      <c r="J528" s="58"/>
      <c r="K528" s="58"/>
      <c r="L528" s="64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</row>
    <row r="529" spans="1:68" ht="34.75" customHeight="1">
      <c r="A529" s="661" t="s">
        <v>82</v>
      </c>
      <c r="B529" s="159" t="s">
        <v>224</v>
      </c>
      <c r="C529" s="287" t="s">
        <v>165</v>
      </c>
      <c r="D529" s="192">
        <v>350</v>
      </c>
      <c r="E529" s="133">
        <v>300</v>
      </c>
      <c r="F529" s="230">
        <f t="shared" si="8"/>
        <v>0</v>
      </c>
      <c r="G529" s="380"/>
      <c r="H529" s="448"/>
      <c r="I529" s="64"/>
      <c r="J529" s="58"/>
      <c r="K529" s="58"/>
      <c r="L529" s="64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</row>
    <row r="530" spans="1:68" ht="33.65" customHeight="1">
      <c r="A530" s="662"/>
      <c r="B530" s="152" t="s">
        <v>225</v>
      </c>
      <c r="C530" s="278" t="s">
        <v>165</v>
      </c>
      <c r="D530" s="181">
        <v>150</v>
      </c>
      <c r="E530" s="183">
        <v>99</v>
      </c>
      <c r="F530" s="227">
        <f t="shared" si="8"/>
        <v>0</v>
      </c>
      <c r="G530" s="381"/>
      <c r="H530" s="448"/>
      <c r="I530" s="64"/>
      <c r="J530" s="58"/>
      <c r="K530" s="58"/>
      <c r="L530" s="64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</row>
    <row r="531" spans="1:68" ht="25.25" customHeight="1">
      <c r="A531" s="662"/>
      <c r="B531" s="419" t="s">
        <v>206</v>
      </c>
      <c r="C531" s="417" t="s">
        <v>170</v>
      </c>
      <c r="D531" s="420">
        <v>250</v>
      </c>
      <c r="E531" s="421">
        <v>150</v>
      </c>
      <c r="F531" s="418">
        <f t="shared" si="8"/>
        <v>0</v>
      </c>
      <c r="G531" s="422"/>
      <c r="H531" s="448"/>
      <c r="I531" s="64"/>
      <c r="J531" s="58"/>
      <c r="K531" s="58"/>
      <c r="L531" s="64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</row>
    <row r="532" spans="1:68" ht="25.25" customHeight="1">
      <c r="A532" s="662"/>
      <c r="B532" s="419" t="s">
        <v>207</v>
      </c>
      <c r="C532" s="417" t="s">
        <v>170</v>
      </c>
      <c r="D532" s="420">
        <v>250</v>
      </c>
      <c r="E532" s="421">
        <v>150</v>
      </c>
      <c r="F532" s="418">
        <f t="shared" si="8"/>
        <v>0</v>
      </c>
      <c r="G532" s="422"/>
      <c r="H532" s="448"/>
      <c r="I532" s="64"/>
      <c r="J532" s="58"/>
      <c r="K532" s="58"/>
      <c r="L532" s="64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</row>
    <row r="533" spans="1:68" ht="25.25" customHeight="1">
      <c r="A533" s="662"/>
      <c r="B533" s="419" t="s">
        <v>208</v>
      </c>
      <c r="C533" s="417" t="s">
        <v>170</v>
      </c>
      <c r="D533" s="420">
        <v>250</v>
      </c>
      <c r="E533" s="421">
        <v>150</v>
      </c>
      <c r="F533" s="418">
        <f t="shared" si="8"/>
        <v>0</v>
      </c>
      <c r="G533" s="422"/>
      <c r="H533" s="448"/>
      <c r="I533" s="64"/>
      <c r="J533" s="58"/>
      <c r="K533" s="58"/>
      <c r="L533" s="64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</row>
    <row r="534" spans="1:68" ht="25.25" customHeight="1">
      <c r="A534" s="662"/>
      <c r="B534" s="426" t="s">
        <v>154</v>
      </c>
      <c r="C534" s="312" t="s">
        <v>170</v>
      </c>
      <c r="D534" s="99">
        <v>250</v>
      </c>
      <c r="E534" s="90">
        <v>180</v>
      </c>
      <c r="F534" s="179">
        <f t="shared" si="8"/>
        <v>0</v>
      </c>
      <c r="G534" s="427"/>
      <c r="H534" s="448"/>
      <c r="I534" s="64"/>
      <c r="J534" s="58"/>
      <c r="K534" s="58"/>
      <c r="L534" s="64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</row>
    <row r="535" spans="1:68" ht="25.25" customHeight="1">
      <c r="A535" s="662"/>
      <c r="B535" s="426" t="s">
        <v>155</v>
      </c>
      <c r="C535" s="312" t="s">
        <v>170</v>
      </c>
      <c r="D535" s="99">
        <v>250</v>
      </c>
      <c r="E535" s="90">
        <v>180</v>
      </c>
      <c r="F535" s="179">
        <f t="shared" si="8"/>
        <v>0</v>
      </c>
      <c r="G535" s="427"/>
      <c r="H535" s="448"/>
      <c r="I535" s="64"/>
      <c r="J535" s="58"/>
      <c r="K535" s="58"/>
      <c r="L535" s="64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</row>
    <row r="536" spans="1:68" ht="25.25" customHeight="1">
      <c r="A536" s="662"/>
      <c r="B536" s="426" t="s">
        <v>156</v>
      </c>
      <c r="C536" s="312" t="s">
        <v>170</v>
      </c>
      <c r="D536" s="99">
        <v>250</v>
      </c>
      <c r="E536" s="90">
        <v>180</v>
      </c>
      <c r="F536" s="179">
        <f t="shared" si="8"/>
        <v>0</v>
      </c>
      <c r="G536" s="427"/>
      <c r="H536" s="448"/>
      <c r="I536" s="64"/>
      <c r="J536" s="58"/>
      <c r="K536" s="58"/>
      <c r="L536" s="64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</row>
    <row r="537" spans="1:68" ht="25.25" customHeight="1">
      <c r="A537" s="662"/>
      <c r="B537" s="423" t="s">
        <v>157</v>
      </c>
      <c r="C537" s="308" t="s">
        <v>170</v>
      </c>
      <c r="D537" s="309">
        <v>250</v>
      </c>
      <c r="E537" s="299">
        <v>200</v>
      </c>
      <c r="F537" s="300">
        <f t="shared" si="8"/>
        <v>0</v>
      </c>
      <c r="G537" s="424"/>
      <c r="H537" s="448"/>
      <c r="I537" s="64"/>
      <c r="J537" s="58"/>
      <c r="K537" s="58"/>
      <c r="L537" s="64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</row>
    <row r="538" spans="1:68" ht="25.25" customHeight="1">
      <c r="A538" s="662"/>
      <c r="B538" s="423" t="s">
        <v>158</v>
      </c>
      <c r="C538" s="308" t="s">
        <v>170</v>
      </c>
      <c r="D538" s="309">
        <v>250</v>
      </c>
      <c r="E538" s="299">
        <v>200</v>
      </c>
      <c r="F538" s="300">
        <f t="shared" si="8"/>
        <v>0</v>
      </c>
      <c r="G538" s="424"/>
      <c r="H538" s="448"/>
      <c r="I538" s="64"/>
      <c r="J538" s="58"/>
      <c r="K538" s="58"/>
      <c r="L538" s="64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</row>
    <row r="539" spans="1:68" ht="25.25" customHeight="1">
      <c r="A539" s="662"/>
      <c r="B539" s="307" t="s">
        <v>111</v>
      </c>
      <c r="C539" s="308" t="s">
        <v>170</v>
      </c>
      <c r="D539" s="309">
        <v>250</v>
      </c>
      <c r="E539" s="425">
        <v>200</v>
      </c>
      <c r="F539" s="300">
        <f t="shared" si="8"/>
        <v>0</v>
      </c>
      <c r="G539" s="424"/>
      <c r="H539" s="448"/>
      <c r="I539" s="64"/>
      <c r="J539" s="58"/>
      <c r="K539" s="58"/>
      <c r="L539" s="64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</row>
    <row r="540" spans="1:68" ht="25.25" customHeight="1" thickBot="1">
      <c r="A540" s="663"/>
      <c r="B540" s="79"/>
      <c r="C540" s="282"/>
      <c r="D540" s="100"/>
      <c r="E540" s="54"/>
      <c r="F540" s="231">
        <f t="shared" si="8"/>
        <v>0</v>
      </c>
      <c r="G540" s="349"/>
      <c r="H540" s="448"/>
      <c r="I540" s="64"/>
      <c r="J540" s="58"/>
      <c r="K540" s="58"/>
      <c r="L540" s="64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</row>
    <row r="541" spans="1:68" ht="28.75" customHeight="1" thickBot="1">
      <c r="A541" s="661" t="s">
        <v>435</v>
      </c>
      <c r="B541" s="635" t="s">
        <v>436</v>
      </c>
      <c r="C541" s="316" t="s">
        <v>437</v>
      </c>
      <c r="D541" s="192">
        <v>300</v>
      </c>
      <c r="E541" s="317">
        <v>280</v>
      </c>
      <c r="F541" s="179">
        <f t="shared" si="8"/>
        <v>0</v>
      </c>
      <c r="G541" s="370" t="s">
        <v>533</v>
      </c>
      <c r="H541" s="448"/>
      <c r="I541" s="58"/>
      <c r="J541" s="58"/>
      <c r="K541" s="58"/>
      <c r="L541" s="64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</row>
    <row r="542" spans="1:68" ht="25.25" customHeight="1" thickBot="1">
      <c r="A542" s="662"/>
      <c r="B542" s="636" t="s">
        <v>438</v>
      </c>
      <c r="C542" s="314" t="s">
        <v>437</v>
      </c>
      <c r="D542" s="58">
        <v>350</v>
      </c>
      <c r="E542" s="53">
        <v>300</v>
      </c>
      <c r="F542" s="138">
        <f t="shared" si="8"/>
        <v>0</v>
      </c>
      <c r="G542" s="373"/>
      <c r="H542" s="448"/>
      <c r="I542" s="58"/>
      <c r="J542" s="58"/>
      <c r="K542" s="58"/>
      <c r="L542" s="64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</row>
    <row r="543" spans="1:68" ht="25.25" customHeight="1" thickBot="1">
      <c r="A543" s="662"/>
      <c r="B543" s="636" t="s">
        <v>439</v>
      </c>
      <c r="C543" s="314" t="s">
        <v>441</v>
      </c>
      <c r="D543" s="58">
        <v>160</v>
      </c>
      <c r="E543" s="53">
        <v>150</v>
      </c>
      <c r="F543" s="138">
        <f t="shared" si="8"/>
        <v>0</v>
      </c>
      <c r="G543" s="373"/>
      <c r="H543" s="448"/>
      <c r="I543" s="58"/>
      <c r="J543" s="58"/>
      <c r="K543" s="58"/>
      <c r="L543" s="64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</row>
    <row r="544" spans="1:68" ht="25.25" customHeight="1" thickBot="1">
      <c r="A544" s="662"/>
      <c r="B544" s="636" t="s">
        <v>440</v>
      </c>
      <c r="C544" s="314" t="s">
        <v>441</v>
      </c>
      <c r="D544" s="58">
        <v>160</v>
      </c>
      <c r="E544" s="53">
        <v>150</v>
      </c>
      <c r="F544" s="138">
        <f t="shared" si="8"/>
        <v>0</v>
      </c>
      <c r="G544" s="374"/>
      <c r="H544" s="448"/>
      <c r="I544" s="58"/>
      <c r="J544" s="58"/>
      <c r="K544" s="58"/>
      <c r="L544" s="64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</row>
    <row r="545" spans="1:68" ht="25.25" customHeight="1" thickBot="1">
      <c r="A545" s="662"/>
      <c r="B545" s="635" t="s">
        <v>442</v>
      </c>
      <c r="C545" s="316" t="s">
        <v>441</v>
      </c>
      <c r="D545" s="99">
        <v>260</v>
      </c>
      <c r="E545" s="298">
        <v>250</v>
      </c>
      <c r="F545" s="179">
        <f t="shared" si="8"/>
        <v>0</v>
      </c>
      <c r="G545" s="481" t="s">
        <v>433</v>
      </c>
      <c r="H545" s="448"/>
      <c r="I545" s="58"/>
      <c r="J545" s="58"/>
      <c r="K545" s="58"/>
      <c r="L545" s="64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</row>
    <row r="546" spans="1:68" ht="25.25" customHeight="1" thickBot="1">
      <c r="A546" s="662"/>
      <c r="B546" s="635" t="s">
        <v>443</v>
      </c>
      <c r="C546" s="316" t="s">
        <v>441</v>
      </c>
      <c r="D546" s="99">
        <v>260</v>
      </c>
      <c r="E546" s="298">
        <v>250</v>
      </c>
      <c r="F546" s="179">
        <f t="shared" si="8"/>
        <v>0</v>
      </c>
      <c r="G546" s="480" t="s">
        <v>434</v>
      </c>
      <c r="H546" s="448"/>
      <c r="I546" s="58"/>
      <c r="J546" s="58"/>
      <c r="K546" s="58"/>
      <c r="L546" s="64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</row>
    <row r="547" spans="1:68" ht="25.25" customHeight="1" thickBot="1">
      <c r="A547" s="662"/>
      <c r="B547" s="635" t="s">
        <v>444</v>
      </c>
      <c r="C547" s="316" t="s">
        <v>441</v>
      </c>
      <c r="D547" s="99">
        <v>260</v>
      </c>
      <c r="E547" s="298">
        <v>250</v>
      </c>
      <c r="F547" s="179">
        <f t="shared" si="8"/>
        <v>0</v>
      </c>
      <c r="G547" s="404"/>
      <c r="H547" s="448"/>
      <c r="I547" s="58"/>
      <c r="J547" s="58"/>
      <c r="K547" s="58"/>
      <c r="L547" s="64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</row>
    <row r="548" spans="1:68" ht="25.25" customHeight="1" thickBot="1">
      <c r="A548" s="662"/>
      <c r="B548" s="635" t="s">
        <v>445</v>
      </c>
      <c r="C548" s="316" t="s">
        <v>441</v>
      </c>
      <c r="D548" s="99">
        <v>260</v>
      </c>
      <c r="E548" s="298">
        <v>250</v>
      </c>
      <c r="F548" s="179">
        <f t="shared" si="8"/>
        <v>0</v>
      </c>
      <c r="G548" s="481" t="s">
        <v>433</v>
      </c>
      <c r="H548" s="448"/>
      <c r="I548" s="58"/>
      <c r="J548" s="58"/>
      <c r="K548" s="58"/>
      <c r="L548" s="64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</row>
    <row r="549" spans="1:68" ht="25.25" customHeight="1" thickBot="1">
      <c r="A549" s="662"/>
      <c r="B549" s="635" t="s">
        <v>446</v>
      </c>
      <c r="C549" s="316" t="s">
        <v>441</v>
      </c>
      <c r="D549" s="99">
        <v>260</v>
      </c>
      <c r="E549" s="298">
        <v>250</v>
      </c>
      <c r="F549" s="179">
        <f t="shared" si="8"/>
        <v>0</v>
      </c>
      <c r="G549" s="480" t="s">
        <v>434</v>
      </c>
      <c r="H549" s="448"/>
      <c r="I549" s="58"/>
      <c r="J549" s="58"/>
      <c r="K549" s="58"/>
      <c r="L549" s="64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</row>
    <row r="550" spans="1:68" ht="25.25" customHeight="1" thickBot="1">
      <c r="A550" s="662"/>
      <c r="B550" s="636" t="s">
        <v>447</v>
      </c>
      <c r="C550" s="314" t="s">
        <v>441</v>
      </c>
      <c r="D550" s="58">
        <v>100</v>
      </c>
      <c r="E550" s="53">
        <v>75</v>
      </c>
      <c r="F550" s="138">
        <f t="shared" si="8"/>
        <v>0</v>
      </c>
      <c r="G550" s="373"/>
      <c r="H550" s="448"/>
      <c r="I550" s="58"/>
      <c r="J550" s="58"/>
      <c r="K550" s="58"/>
      <c r="L550" s="64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</row>
    <row r="551" spans="1:68" ht="25.25" customHeight="1" thickBot="1">
      <c r="A551" s="662"/>
      <c r="B551" s="636" t="s">
        <v>448</v>
      </c>
      <c r="C551" s="314" t="s">
        <v>441</v>
      </c>
      <c r="D551" s="58">
        <v>100</v>
      </c>
      <c r="E551" s="315">
        <v>75</v>
      </c>
      <c r="F551" s="138">
        <f t="shared" si="8"/>
        <v>0</v>
      </c>
      <c r="G551" s="373"/>
      <c r="H551" s="448"/>
      <c r="I551" s="58"/>
      <c r="J551" s="58"/>
      <c r="K551" s="58"/>
      <c r="L551" s="64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</row>
    <row r="552" spans="1:68" ht="25.25" customHeight="1" thickBot="1">
      <c r="A552" s="662"/>
      <c r="B552" s="636" t="s">
        <v>449</v>
      </c>
      <c r="C552" s="314" t="s">
        <v>441</v>
      </c>
      <c r="D552" s="58">
        <v>100</v>
      </c>
      <c r="E552" s="53">
        <v>75</v>
      </c>
      <c r="F552" s="138">
        <f t="shared" si="8"/>
        <v>0</v>
      </c>
      <c r="G552" s="373"/>
      <c r="H552" s="448"/>
      <c r="I552" s="58"/>
      <c r="J552" s="58"/>
      <c r="K552" s="58"/>
      <c r="L552" s="64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</row>
    <row r="553" spans="1:68" ht="25.25" customHeight="1">
      <c r="A553" s="662"/>
      <c r="B553" s="637" t="s">
        <v>450</v>
      </c>
      <c r="C553" s="620" t="s">
        <v>441</v>
      </c>
      <c r="D553" s="184">
        <v>100</v>
      </c>
      <c r="E553" s="315">
        <v>75</v>
      </c>
      <c r="F553" s="140">
        <f t="shared" si="8"/>
        <v>0</v>
      </c>
      <c r="G553" s="373"/>
      <c r="H553" s="448"/>
      <c r="I553" s="58"/>
      <c r="J553" s="58"/>
      <c r="K553" s="58"/>
      <c r="L553" s="64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</row>
    <row r="554" spans="1:68" ht="25.25" customHeight="1">
      <c r="A554" s="662"/>
      <c r="B554" s="105" t="s">
        <v>451</v>
      </c>
      <c r="C554" s="314" t="s">
        <v>441</v>
      </c>
      <c r="D554" s="58">
        <v>100</v>
      </c>
      <c r="E554" s="182">
        <v>75</v>
      </c>
      <c r="F554" s="512">
        <f t="shared" si="8"/>
        <v>0</v>
      </c>
      <c r="G554" s="220"/>
      <c r="H554" s="448"/>
      <c r="I554" s="58"/>
      <c r="J554" s="58"/>
      <c r="K554" s="58"/>
      <c r="L554" s="64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</row>
    <row r="555" spans="1:68" ht="25.25" customHeight="1">
      <c r="A555" s="662"/>
      <c r="B555" s="105" t="s">
        <v>601</v>
      </c>
      <c r="C555" s="314" t="s">
        <v>441</v>
      </c>
      <c r="D555" s="58">
        <v>320</v>
      </c>
      <c r="E555" s="182">
        <v>300</v>
      </c>
      <c r="F555" s="512">
        <f t="shared" si="8"/>
        <v>0</v>
      </c>
      <c r="G555" s="170" t="s">
        <v>602</v>
      </c>
      <c r="H555" s="448"/>
      <c r="I555" s="58"/>
      <c r="J555" s="58"/>
      <c r="K555" s="58"/>
      <c r="L555" s="64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</row>
    <row r="556" spans="1:68" ht="25.25" customHeight="1">
      <c r="A556" s="662"/>
      <c r="B556" s="105" t="s">
        <v>603</v>
      </c>
      <c r="C556" s="314" t="s">
        <v>441</v>
      </c>
      <c r="D556" s="58">
        <v>320</v>
      </c>
      <c r="E556" s="182">
        <v>300</v>
      </c>
      <c r="F556" s="512">
        <f t="shared" si="8"/>
        <v>0</v>
      </c>
      <c r="G556" s="170" t="s">
        <v>600</v>
      </c>
      <c r="H556" s="448"/>
      <c r="I556" s="58"/>
      <c r="J556" s="58"/>
      <c r="K556" s="58"/>
      <c r="L556" s="64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</row>
    <row r="557" spans="1:68" ht="25.25" customHeight="1">
      <c r="A557" s="662"/>
      <c r="B557" s="105" t="s">
        <v>604</v>
      </c>
      <c r="C557" s="314" t="s">
        <v>441</v>
      </c>
      <c r="D557" s="58">
        <v>320</v>
      </c>
      <c r="E557" s="182">
        <v>300</v>
      </c>
      <c r="F557" s="512">
        <f t="shared" si="8"/>
        <v>0</v>
      </c>
      <c r="G557" s="638" t="s">
        <v>600</v>
      </c>
      <c r="H557" s="448"/>
      <c r="I557" s="58"/>
      <c r="J557" s="58"/>
      <c r="K557" s="58"/>
      <c r="L557" s="64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</row>
    <row r="558" spans="1:68" ht="25.25" customHeight="1" thickBot="1">
      <c r="A558" s="663"/>
      <c r="B558" s="79"/>
      <c r="C558" s="639"/>
      <c r="D558" s="100"/>
      <c r="E558" s="54"/>
      <c r="F558" s="640">
        <f t="shared" si="8"/>
        <v>0</v>
      </c>
      <c r="G558" s="641"/>
      <c r="H558" s="452"/>
      <c r="I558" s="58"/>
      <c r="J558" s="58"/>
      <c r="K558" s="58"/>
      <c r="L558" s="64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</row>
    <row r="559" spans="1:68" ht="25.25" customHeight="1">
      <c r="A559" s="715" t="s">
        <v>282</v>
      </c>
      <c r="B559" s="84" t="s">
        <v>371</v>
      </c>
      <c r="C559" s="270" t="s">
        <v>130</v>
      </c>
      <c r="D559" s="181">
        <v>165</v>
      </c>
      <c r="E559" s="183">
        <v>125</v>
      </c>
      <c r="F559" s="227">
        <f t="shared" si="8"/>
        <v>0</v>
      </c>
      <c r="G559" s="377" t="s">
        <v>162</v>
      </c>
      <c r="H559" s="448"/>
      <c r="I559" s="58"/>
      <c r="J559" s="58"/>
      <c r="K559" s="58"/>
      <c r="L559" s="64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</row>
    <row r="560" spans="1:68" ht="25.25" customHeight="1">
      <c r="A560" s="689"/>
      <c r="B560" s="82" t="s">
        <v>372</v>
      </c>
      <c r="C560" s="272" t="s">
        <v>130</v>
      </c>
      <c r="D560" s="58">
        <v>165</v>
      </c>
      <c r="E560" s="182">
        <v>125</v>
      </c>
      <c r="F560" s="138">
        <f t="shared" si="8"/>
        <v>0</v>
      </c>
      <c r="G560" s="371" t="s">
        <v>162</v>
      </c>
      <c r="H560" s="448"/>
      <c r="I560" s="58"/>
      <c r="J560" s="58"/>
      <c r="K560" s="58"/>
      <c r="L560" s="64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</row>
    <row r="561" spans="1:68" ht="25.25" customHeight="1">
      <c r="A561" s="689"/>
      <c r="B561" s="82" t="s">
        <v>373</v>
      </c>
      <c r="C561" s="272" t="s">
        <v>130</v>
      </c>
      <c r="D561" s="58">
        <v>165</v>
      </c>
      <c r="E561" s="182">
        <v>125</v>
      </c>
      <c r="F561" s="138">
        <f t="shared" si="8"/>
        <v>0</v>
      </c>
      <c r="G561" s="371" t="s">
        <v>162</v>
      </c>
      <c r="H561" s="448"/>
      <c r="I561" s="58"/>
      <c r="J561" s="58"/>
      <c r="K561" s="58"/>
      <c r="L561" s="64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</row>
    <row r="562" spans="1:68" ht="25.25" customHeight="1">
      <c r="A562" s="689"/>
      <c r="B562" s="82" t="s">
        <v>350</v>
      </c>
      <c r="C562" s="272" t="s">
        <v>130</v>
      </c>
      <c r="D562" s="184">
        <v>360</v>
      </c>
      <c r="E562" s="55">
        <v>280</v>
      </c>
      <c r="F562" s="140">
        <f t="shared" si="8"/>
        <v>0</v>
      </c>
      <c r="G562" s="371" t="s">
        <v>216</v>
      </c>
      <c r="H562" s="448"/>
      <c r="I562" s="58"/>
      <c r="J562" s="58"/>
      <c r="K562" s="58"/>
      <c r="L562" s="64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</row>
    <row r="563" spans="1:68" ht="25.25" customHeight="1">
      <c r="A563" s="689"/>
      <c r="B563" s="82" t="s">
        <v>351</v>
      </c>
      <c r="C563" s="272" t="s">
        <v>130</v>
      </c>
      <c r="D563" s="184">
        <v>360</v>
      </c>
      <c r="E563" s="55">
        <v>280</v>
      </c>
      <c r="F563" s="140">
        <f t="shared" si="8"/>
        <v>0</v>
      </c>
      <c r="G563" s="371" t="s">
        <v>215</v>
      </c>
      <c r="H563" s="448"/>
      <c r="I563" s="58"/>
      <c r="J563" s="58"/>
      <c r="K563" s="58"/>
      <c r="L563" s="64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</row>
    <row r="564" spans="1:68" ht="25.25" customHeight="1" thickBot="1">
      <c r="A564" s="716"/>
      <c r="B564" s="79"/>
      <c r="C564" s="282"/>
      <c r="D564" s="100"/>
      <c r="E564" s="54"/>
      <c r="F564" s="141">
        <f t="shared" si="8"/>
        <v>0</v>
      </c>
      <c r="G564" s="349"/>
      <c r="H564" s="448"/>
      <c r="I564" s="64"/>
      <c r="J564" s="58"/>
      <c r="K564" s="58"/>
      <c r="L564" s="64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</row>
    <row r="565" spans="1:68" ht="25.25" customHeight="1">
      <c r="A565" s="680" t="s">
        <v>656</v>
      </c>
      <c r="B565" s="496" t="s">
        <v>768</v>
      </c>
      <c r="C565" s="489" t="s">
        <v>15</v>
      </c>
      <c r="D565" s="250">
        <v>200</v>
      </c>
      <c r="E565" s="251">
        <v>125</v>
      </c>
      <c r="F565" s="494">
        <f t="shared" si="8"/>
        <v>0</v>
      </c>
      <c r="G565" s="490"/>
      <c r="H565" s="448"/>
      <c r="I565" s="64"/>
      <c r="J565" s="58"/>
      <c r="K565" s="58"/>
      <c r="L565" s="64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</row>
    <row r="566" spans="1:68" ht="25.25" customHeight="1">
      <c r="A566" s="681"/>
      <c r="B566" s="486" t="s">
        <v>769</v>
      </c>
      <c r="C566" s="288" t="s">
        <v>15</v>
      </c>
      <c r="D566" s="255">
        <v>200</v>
      </c>
      <c r="E566" s="256">
        <v>125</v>
      </c>
      <c r="F566" s="257">
        <f t="shared" si="8"/>
        <v>0</v>
      </c>
      <c r="G566" s="491"/>
      <c r="H566" s="448"/>
      <c r="I566" s="64"/>
      <c r="J566" s="58"/>
      <c r="K566" s="58"/>
      <c r="L566" s="64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</row>
    <row r="567" spans="1:68" ht="25.25" customHeight="1">
      <c r="A567" s="681"/>
      <c r="B567" s="487" t="s">
        <v>770</v>
      </c>
      <c r="C567" s="288" t="s">
        <v>15</v>
      </c>
      <c r="D567" s="255">
        <v>200</v>
      </c>
      <c r="E567" s="256">
        <v>125</v>
      </c>
      <c r="F567" s="257">
        <f t="shared" si="8"/>
        <v>0</v>
      </c>
      <c r="G567" s="491"/>
      <c r="H567" s="448"/>
      <c r="I567" s="64"/>
      <c r="J567" s="58"/>
      <c r="K567" s="58"/>
      <c r="L567" s="64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</row>
    <row r="568" spans="1:68" ht="25.25" customHeight="1">
      <c r="A568" s="681"/>
      <c r="B568" s="488" t="s">
        <v>771</v>
      </c>
      <c r="C568" s="288" t="s">
        <v>15</v>
      </c>
      <c r="D568" s="255">
        <v>200</v>
      </c>
      <c r="E568" s="256">
        <v>125</v>
      </c>
      <c r="F568" s="257">
        <f t="shared" si="8"/>
        <v>0</v>
      </c>
      <c r="G568" s="491"/>
      <c r="H568" s="448"/>
      <c r="I568" s="64"/>
      <c r="J568" s="58"/>
      <c r="K568" s="58"/>
      <c r="L568" s="64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</row>
    <row r="569" spans="1:68" ht="25.25" customHeight="1">
      <c r="A569" s="681"/>
      <c r="B569" s="488" t="s">
        <v>772</v>
      </c>
      <c r="C569" s="288" t="s">
        <v>15</v>
      </c>
      <c r="D569" s="255">
        <v>200</v>
      </c>
      <c r="E569" s="256">
        <v>125</v>
      </c>
      <c r="F569" s="257">
        <f t="shared" si="8"/>
        <v>0</v>
      </c>
      <c r="G569" s="492"/>
      <c r="H569" s="448"/>
      <c r="I569" s="64"/>
      <c r="J569" s="58"/>
      <c r="K569" s="58"/>
      <c r="L569" s="64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</row>
    <row r="570" spans="1:68" ht="25.25" customHeight="1">
      <c r="A570" s="681"/>
      <c r="B570" s="488" t="s">
        <v>773</v>
      </c>
      <c r="C570" s="484" t="s">
        <v>13</v>
      </c>
      <c r="D570" s="255">
        <v>200</v>
      </c>
      <c r="E570" s="256">
        <v>125</v>
      </c>
      <c r="F570" s="485">
        <f t="shared" si="8"/>
        <v>0</v>
      </c>
      <c r="G570" s="493"/>
      <c r="H570" s="448"/>
      <c r="I570" s="64"/>
      <c r="J570" s="58"/>
      <c r="K570" s="58"/>
      <c r="L570" s="64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</row>
    <row r="571" spans="1:68" ht="25.25" customHeight="1">
      <c r="A571" s="681"/>
      <c r="B571" s="488" t="s">
        <v>774</v>
      </c>
      <c r="C571" s="288" t="s">
        <v>13</v>
      </c>
      <c r="D571" s="255">
        <v>200</v>
      </c>
      <c r="E571" s="256">
        <v>125</v>
      </c>
      <c r="F571" s="485">
        <f t="shared" si="8"/>
        <v>0</v>
      </c>
      <c r="G571" s="491"/>
      <c r="H571" s="448"/>
      <c r="I571" s="64"/>
      <c r="J571" s="58"/>
      <c r="K571" s="58"/>
      <c r="L571" s="64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</row>
    <row r="572" spans="1:68" ht="25.25" customHeight="1">
      <c r="A572" s="681"/>
      <c r="B572" s="488" t="s">
        <v>775</v>
      </c>
      <c r="C572" s="484" t="s">
        <v>13</v>
      </c>
      <c r="D572" s="255">
        <v>200</v>
      </c>
      <c r="E572" s="256">
        <v>125</v>
      </c>
      <c r="F572" s="257">
        <f t="shared" si="8"/>
        <v>0</v>
      </c>
      <c r="G572" s="491"/>
      <c r="H572" s="448"/>
      <c r="I572" s="64"/>
      <c r="J572" s="58"/>
      <c r="K572" s="58"/>
      <c r="L572" s="64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</row>
    <row r="573" spans="1:68" ht="25.25" customHeight="1">
      <c r="A573" s="681"/>
      <c r="B573" s="487" t="s">
        <v>776</v>
      </c>
      <c r="C573" s="484" t="s">
        <v>79</v>
      </c>
      <c r="D573" s="255">
        <v>200</v>
      </c>
      <c r="E573" s="256">
        <v>125</v>
      </c>
      <c r="F573" s="485">
        <f t="shared" si="8"/>
        <v>0</v>
      </c>
      <c r="G573" s="495"/>
      <c r="H573" s="448"/>
      <c r="I573" s="64"/>
      <c r="J573" s="58"/>
      <c r="K573" s="58"/>
      <c r="L573" s="64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</row>
    <row r="574" spans="1:68" ht="25.25" customHeight="1">
      <c r="A574" s="681"/>
      <c r="B574" s="487" t="s">
        <v>777</v>
      </c>
      <c r="C574" s="484" t="s">
        <v>79</v>
      </c>
      <c r="D574" s="255">
        <v>200</v>
      </c>
      <c r="E574" s="256">
        <v>125</v>
      </c>
      <c r="F574" s="485">
        <f t="shared" si="8"/>
        <v>0</v>
      </c>
      <c r="G574" s="495"/>
      <c r="H574" s="448"/>
      <c r="I574" s="64"/>
      <c r="J574" s="58"/>
      <c r="K574" s="58"/>
      <c r="L574" s="64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</row>
    <row r="575" spans="1:68" ht="25.25" customHeight="1" thickBot="1">
      <c r="A575" s="682"/>
      <c r="B575" s="106"/>
      <c r="C575" s="282"/>
      <c r="D575" s="100"/>
      <c r="E575" s="54"/>
      <c r="F575" s="234">
        <f t="shared" si="8"/>
        <v>0</v>
      </c>
      <c r="G575" s="386"/>
      <c r="H575" s="448"/>
      <c r="I575" s="64"/>
      <c r="J575" s="58"/>
      <c r="K575" s="58"/>
      <c r="L575" s="64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</row>
    <row r="576" spans="1:68" ht="35.4" customHeight="1" thickBot="1">
      <c r="A576" s="711" t="s">
        <v>833</v>
      </c>
      <c r="B576" s="525" t="s">
        <v>570</v>
      </c>
      <c r="C576" s="632"/>
      <c r="D576" s="102">
        <v>240</v>
      </c>
      <c r="E576" s="56">
        <v>190</v>
      </c>
      <c r="F576" s="137">
        <f t="shared" si="8"/>
        <v>0</v>
      </c>
      <c r="G576" s="633"/>
      <c r="H576" s="448"/>
      <c r="I576" s="58"/>
      <c r="J576" s="58"/>
      <c r="K576" s="58"/>
      <c r="L576" s="64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</row>
    <row r="577" spans="1:68" ht="35.4" customHeight="1">
      <c r="A577" s="712"/>
      <c r="B577" s="559" t="s">
        <v>607</v>
      </c>
      <c r="C577" s="272"/>
      <c r="D577" s="64">
        <v>340</v>
      </c>
      <c r="E577" s="182">
        <v>210</v>
      </c>
      <c r="F577" s="138">
        <f t="shared" si="8"/>
        <v>0</v>
      </c>
      <c r="G577" s="504" t="s">
        <v>260</v>
      </c>
      <c r="H577" s="448"/>
      <c r="I577" s="58"/>
      <c r="J577" s="58"/>
      <c r="K577" s="58"/>
      <c r="L577" s="64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</row>
    <row r="578" spans="1:68" ht="35.4" customHeight="1">
      <c r="A578" s="712"/>
      <c r="B578" s="164" t="s">
        <v>569</v>
      </c>
      <c r="C578" s="561"/>
      <c r="D578" s="181">
        <v>90</v>
      </c>
      <c r="E578" s="183">
        <v>50</v>
      </c>
      <c r="F578" s="227">
        <f t="shared" si="8"/>
        <v>0</v>
      </c>
      <c r="G578" s="504" t="s">
        <v>260</v>
      </c>
      <c r="H578" s="448"/>
      <c r="I578" s="58"/>
      <c r="J578" s="58"/>
      <c r="K578" s="58"/>
      <c r="L578" s="64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</row>
    <row r="579" spans="1:68" ht="35.4" customHeight="1" thickBot="1">
      <c r="A579" s="712"/>
      <c r="B579" s="560" t="s">
        <v>539</v>
      </c>
      <c r="C579" s="558"/>
      <c r="D579" s="339">
        <v>99</v>
      </c>
      <c r="E579" s="411">
        <v>99</v>
      </c>
      <c r="F579" s="505">
        <f t="shared" si="8"/>
        <v>0</v>
      </c>
      <c r="G579" s="524" t="s">
        <v>831</v>
      </c>
      <c r="H579" s="448"/>
      <c r="I579" s="58"/>
      <c r="J579" s="58"/>
      <c r="K579" s="58"/>
      <c r="L579" s="64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</row>
    <row r="580" spans="1:68" ht="35.4" customHeight="1">
      <c r="A580" s="713"/>
      <c r="B580" s="627" t="s">
        <v>625</v>
      </c>
      <c r="C580" s="558"/>
      <c r="D580" s="339">
        <v>200</v>
      </c>
      <c r="E580" s="411">
        <v>99</v>
      </c>
      <c r="F580" s="369">
        <f t="shared" si="8"/>
        <v>0</v>
      </c>
      <c r="G580" s="634" t="s">
        <v>830</v>
      </c>
      <c r="H580" s="448"/>
      <c r="I580" s="58"/>
      <c r="J580" s="58"/>
      <c r="K580" s="58"/>
      <c r="L580" s="64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</row>
    <row r="581" spans="1:68" ht="35.4" customHeight="1">
      <c r="A581" s="713"/>
      <c r="B581" s="627" t="s">
        <v>841</v>
      </c>
      <c r="C581" s="558"/>
      <c r="D581" s="339">
        <v>180</v>
      </c>
      <c r="E581" s="411">
        <v>99</v>
      </c>
      <c r="F581" s="505">
        <f t="shared" si="8"/>
        <v>0</v>
      </c>
      <c r="G581" s="524" t="s">
        <v>260</v>
      </c>
      <c r="H581" s="448"/>
      <c r="I581" s="58"/>
      <c r="J581" s="58"/>
      <c r="K581" s="58"/>
      <c r="L581" s="64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</row>
    <row r="582" spans="1:68" ht="35.4" customHeight="1">
      <c r="A582" s="713"/>
      <c r="B582" s="164" t="s">
        <v>590</v>
      </c>
      <c r="C582" s="557"/>
      <c r="D582" s="58">
        <v>220</v>
      </c>
      <c r="E582" s="183">
        <v>180</v>
      </c>
      <c r="F582" s="140">
        <f t="shared" ref="F582:F591" si="9">SUM(I582:BP582)</f>
        <v>0</v>
      </c>
      <c r="G582" s="504" t="s">
        <v>748</v>
      </c>
      <c r="H582" s="448"/>
      <c r="I582" s="58"/>
      <c r="J582" s="58"/>
      <c r="K582" s="58"/>
      <c r="L582" s="64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</row>
    <row r="583" spans="1:68" ht="35.4" customHeight="1">
      <c r="A583" s="713"/>
      <c r="B583" s="498" t="s">
        <v>626</v>
      </c>
      <c r="C583" s="515"/>
      <c r="D583" s="58">
        <v>240</v>
      </c>
      <c r="E583" s="183">
        <v>180</v>
      </c>
      <c r="F583" s="140">
        <f t="shared" si="9"/>
        <v>0</v>
      </c>
      <c r="G583" s="504" t="s">
        <v>747</v>
      </c>
      <c r="H583" s="448"/>
      <c r="I583" s="58"/>
      <c r="J583" s="58"/>
      <c r="K583" s="58"/>
      <c r="L583" s="64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</row>
    <row r="584" spans="1:68" ht="35.4" customHeight="1">
      <c r="A584" s="713"/>
      <c r="B584" s="498" t="s">
        <v>832</v>
      </c>
      <c r="C584" s="515"/>
      <c r="D584" s="58">
        <v>310</v>
      </c>
      <c r="E584" s="183">
        <v>250</v>
      </c>
      <c r="F584" s="140">
        <f t="shared" si="9"/>
        <v>0</v>
      </c>
      <c r="G584" s="504" t="s">
        <v>260</v>
      </c>
      <c r="H584" s="448"/>
      <c r="I584" s="58"/>
      <c r="J584" s="58"/>
      <c r="K584" s="58"/>
      <c r="L584" s="64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</row>
    <row r="585" spans="1:68" ht="35.4" customHeight="1">
      <c r="A585" s="713"/>
      <c r="B585" s="498" t="s">
        <v>396</v>
      </c>
      <c r="C585" s="272"/>
      <c r="D585" s="58">
        <v>299</v>
      </c>
      <c r="E585" s="183">
        <v>250</v>
      </c>
      <c r="F585" s="140">
        <f t="shared" si="9"/>
        <v>0</v>
      </c>
      <c r="G585" s="504"/>
      <c r="H585" s="448"/>
      <c r="I585" s="58"/>
      <c r="J585" s="58"/>
      <c r="K585" s="58"/>
      <c r="L585" s="64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</row>
    <row r="586" spans="1:68" ht="35.4" customHeight="1">
      <c r="A586" s="713"/>
      <c r="B586" s="498" t="s">
        <v>746</v>
      </c>
      <c r="C586" s="270"/>
      <c r="D586" s="181">
        <v>120</v>
      </c>
      <c r="E586" s="183">
        <v>80</v>
      </c>
      <c r="F586" s="140">
        <f t="shared" si="9"/>
        <v>0</v>
      </c>
      <c r="G586" s="504" t="s">
        <v>260</v>
      </c>
      <c r="H586" s="448"/>
      <c r="I586" s="58"/>
      <c r="J586" s="58"/>
      <c r="K586" s="58"/>
      <c r="L586" s="64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</row>
    <row r="587" spans="1:68" ht="35.4" customHeight="1">
      <c r="A587" s="713"/>
      <c r="B587" s="498" t="s">
        <v>527</v>
      </c>
      <c r="C587" s="270"/>
      <c r="D587" s="181">
        <v>120</v>
      </c>
      <c r="E587" s="183">
        <v>90</v>
      </c>
      <c r="F587" s="138">
        <f t="shared" si="9"/>
        <v>0</v>
      </c>
      <c r="G587" s="504"/>
      <c r="H587" s="448"/>
      <c r="I587" s="58"/>
      <c r="J587" s="58"/>
      <c r="K587" s="58"/>
      <c r="L587" s="64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</row>
    <row r="588" spans="1:68" ht="25.25" customHeight="1">
      <c r="A588" s="713"/>
      <c r="B588" s="498" t="s">
        <v>159</v>
      </c>
      <c r="C588" s="272"/>
      <c r="D588" s="58">
        <v>30</v>
      </c>
      <c r="E588" s="183">
        <v>10</v>
      </c>
      <c r="F588" s="138">
        <f t="shared" si="9"/>
        <v>0</v>
      </c>
      <c r="G588" s="379"/>
      <c r="H588" s="448"/>
      <c r="I588" s="58"/>
      <c r="J588" s="58"/>
      <c r="K588" s="58"/>
      <c r="L588" s="64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</row>
    <row r="589" spans="1:68" ht="25.25" customHeight="1">
      <c r="A589" s="713"/>
      <c r="B589" s="498" t="s">
        <v>160</v>
      </c>
      <c r="C589" s="272"/>
      <c r="D589" s="58">
        <v>10</v>
      </c>
      <c r="E589" s="182">
        <v>5</v>
      </c>
      <c r="F589" s="140">
        <f t="shared" si="9"/>
        <v>0</v>
      </c>
      <c r="G589" s="371"/>
      <c r="H589" s="448"/>
      <c r="I589" s="58"/>
      <c r="J589" s="58"/>
      <c r="K589" s="58"/>
      <c r="L589" s="64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</row>
    <row r="590" spans="1:68" ht="29" customHeight="1" thickBot="1">
      <c r="A590" s="714"/>
      <c r="B590" s="501"/>
      <c r="C590" s="500"/>
      <c r="D590" s="502"/>
      <c r="E590" s="503"/>
      <c r="F590" s="141">
        <f t="shared" si="9"/>
        <v>0</v>
      </c>
      <c r="G590" s="497"/>
      <c r="H590" s="448"/>
      <c r="I590" s="58"/>
      <c r="J590" s="58"/>
      <c r="K590" s="58"/>
      <c r="L590" s="64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</row>
    <row r="591" spans="1:68" ht="29" customHeight="1" thickBot="1">
      <c r="A591" s="117"/>
      <c r="B591" s="118"/>
      <c r="C591" s="292"/>
      <c r="D591" s="353"/>
      <c r="E591" s="357"/>
      <c r="F591" s="356">
        <f t="shared" si="9"/>
        <v>0</v>
      </c>
      <c r="G591" s="397"/>
      <c r="H591" s="455"/>
      <c r="I591" s="58"/>
      <c r="J591" s="58"/>
      <c r="K591" s="58"/>
      <c r="L591" s="64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</row>
    <row r="592" spans="1:68" s="69" customFormat="1" ht="32.4" customHeight="1" thickBot="1">
      <c r="A592" s="726" t="s">
        <v>2</v>
      </c>
      <c r="B592" s="727"/>
      <c r="C592" s="293"/>
      <c r="D592" s="67"/>
      <c r="E592" s="354"/>
      <c r="F592" s="352">
        <f>SUM(F1:F590)</f>
        <v>0</v>
      </c>
      <c r="G592" s="398"/>
      <c r="H592" s="456"/>
      <c r="I592" s="68">
        <f t="shared" ref="I592:AN592" si="10">SUMPRODUCT($E$4:$E$590,I4:I590)</f>
        <v>0</v>
      </c>
      <c r="J592" s="68">
        <f t="shared" si="10"/>
        <v>0</v>
      </c>
      <c r="K592" s="68">
        <f t="shared" si="10"/>
        <v>0</v>
      </c>
      <c r="L592" s="68">
        <f t="shared" si="10"/>
        <v>0</v>
      </c>
      <c r="M592" s="68">
        <f t="shared" si="10"/>
        <v>0</v>
      </c>
      <c r="N592" s="68">
        <f t="shared" si="10"/>
        <v>0</v>
      </c>
      <c r="O592" s="68">
        <f t="shared" si="10"/>
        <v>0</v>
      </c>
      <c r="P592" s="68">
        <f t="shared" si="10"/>
        <v>0</v>
      </c>
      <c r="Q592" s="68">
        <f t="shared" si="10"/>
        <v>0</v>
      </c>
      <c r="R592" s="68">
        <f t="shared" si="10"/>
        <v>0</v>
      </c>
      <c r="S592" s="68">
        <f t="shared" si="10"/>
        <v>0</v>
      </c>
      <c r="T592" s="68">
        <f t="shared" si="10"/>
        <v>0</v>
      </c>
      <c r="U592" s="68">
        <f t="shared" si="10"/>
        <v>0</v>
      </c>
      <c r="V592" s="68">
        <f t="shared" si="10"/>
        <v>0</v>
      </c>
      <c r="W592" s="68">
        <f t="shared" si="10"/>
        <v>0</v>
      </c>
      <c r="X592" s="68">
        <f t="shared" si="10"/>
        <v>0</v>
      </c>
      <c r="Y592" s="68">
        <f t="shared" si="10"/>
        <v>0</v>
      </c>
      <c r="Z592" s="68">
        <f t="shared" si="10"/>
        <v>0</v>
      </c>
      <c r="AA592" s="68">
        <f t="shared" si="10"/>
        <v>0</v>
      </c>
      <c r="AB592" s="68">
        <f t="shared" si="10"/>
        <v>0</v>
      </c>
      <c r="AC592" s="68">
        <f t="shared" si="10"/>
        <v>0</v>
      </c>
      <c r="AD592" s="68">
        <f t="shared" si="10"/>
        <v>0</v>
      </c>
      <c r="AE592" s="68">
        <f t="shared" si="10"/>
        <v>0</v>
      </c>
      <c r="AF592" s="68">
        <f t="shared" si="10"/>
        <v>0</v>
      </c>
      <c r="AG592" s="68">
        <f t="shared" si="10"/>
        <v>0</v>
      </c>
      <c r="AH592" s="68">
        <f t="shared" si="10"/>
        <v>0</v>
      </c>
      <c r="AI592" s="68">
        <f t="shared" si="10"/>
        <v>0</v>
      </c>
      <c r="AJ592" s="68">
        <f t="shared" si="10"/>
        <v>0</v>
      </c>
      <c r="AK592" s="68">
        <f t="shared" si="10"/>
        <v>0</v>
      </c>
      <c r="AL592" s="68">
        <f t="shared" si="10"/>
        <v>0</v>
      </c>
      <c r="AM592" s="68">
        <f t="shared" si="10"/>
        <v>0</v>
      </c>
      <c r="AN592" s="68">
        <f t="shared" si="10"/>
        <v>0</v>
      </c>
      <c r="AO592" s="68">
        <f t="shared" ref="AO592:BP592" si="11">SUMPRODUCT($E$4:$E$590,AO4:AO590)</f>
        <v>0</v>
      </c>
      <c r="AP592" s="68">
        <f t="shared" si="11"/>
        <v>0</v>
      </c>
      <c r="AQ592" s="68">
        <f t="shared" si="11"/>
        <v>0</v>
      </c>
      <c r="AR592" s="68">
        <f t="shared" si="11"/>
        <v>0</v>
      </c>
      <c r="AS592" s="68">
        <f t="shared" si="11"/>
        <v>0</v>
      </c>
      <c r="AT592" s="68">
        <f t="shared" si="11"/>
        <v>0</v>
      </c>
      <c r="AU592" s="68">
        <f t="shared" si="11"/>
        <v>0</v>
      </c>
      <c r="AV592" s="68">
        <f t="shared" si="11"/>
        <v>0</v>
      </c>
      <c r="AW592" s="68">
        <f t="shared" si="11"/>
        <v>0</v>
      </c>
      <c r="AX592" s="68">
        <f t="shared" si="11"/>
        <v>0</v>
      </c>
      <c r="AY592" s="68">
        <f t="shared" si="11"/>
        <v>0</v>
      </c>
      <c r="AZ592" s="68">
        <f t="shared" si="11"/>
        <v>0</v>
      </c>
      <c r="BA592" s="68">
        <f t="shared" si="11"/>
        <v>0</v>
      </c>
      <c r="BB592" s="68">
        <f t="shared" si="11"/>
        <v>0</v>
      </c>
      <c r="BC592" s="68">
        <f t="shared" si="11"/>
        <v>0</v>
      </c>
      <c r="BD592" s="68">
        <f t="shared" si="11"/>
        <v>0</v>
      </c>
      <c r="BE592" s="68">
        <f t="shared" si="11"/>
        <v>0</v>
      </c>
      <c r="BF592" s="68">
        <f t="shared" si="11"/>
        <v>0</v>
      </c>
      <c r="BG592" s="68">
        <f t="shared" si="11"/>
        <v>0</v>
      </c>
      <c r="BH592" s="68">
        <f t="shared" si="11"/>
        <v>0</v>
      </c>
      <c r="BI592" s="68">
        <f t="shared" si="11"/>
        <v>0</v>
      </c>
      <c r="BJ592" s="68">
        <f t="shared" si="11"/>
        <v>0</v>
      </c>
      <c r="BK592" s="68">
        <f t="shared" si="11"/>
        <v>0</v>
      </c>
      <c r="BL592" s="68">
        <f t="shared" si="11"/>
        <v>0</v>
      </c>
      <c r="BM592" s="68">
        <f t="shared" si="11"/>
        <v>0</v>
      </c>
      <c r="BN592" s="68">
        <f t="shared" si="11"/>
        <v>0</v>
      </c>
      <c r="BO592" s="68">
        <f t="shared" si="11"/>
        <v>0</v>
      </c>
      <c r="BP592" s="68">
        <f t="shared" si="11"/>
        <v>0</v>
      </c>
    </row>
    <row r="593" spans="1:63">
      <c r="A593" s="73"/>
      <c r="B593" s="80" t="s">
        <v>17</v>
      </c>
      <c r="E593" s="52"/>
      <c r="F593" s="355"/>
      <c r="H593" s="70"/>
      <c r="I593" s="724">
        <f>SUM(I592:BP592)</f>
        <v>0</v>
      </c>
      <c r="J593" s="725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</row>
    <row r="594" spans="1:63" ht="29.25" customHeight="1">
      <c r="A594" s="73"/>
      <c r="B594" s="723"/>
      <c r="C594" s="723"/>
      <c r="D594" s="723"/>
      <c r="E594" s="723"/>
      <c r="F594" s="723"/>
      <c r="G594" s="723"/>
      <c r="H594" s="71"/>
      <c r="I594" s="722"/>
      <c r="J594" s="722"/>
    </row>
    <row r="595" spans="1:63" ht="15" customHeight="1">
      <c r="A595" s="74"/>
      <c r="B595" s="78"/>
      <c r="C595" s="260"/>
      <c r="D595" s="104"/>
      <c r="E595" s="52"/>
      <c r="F595" s="52"/>
      <c r="G595" s="165"/>
      <c r="H595" s="70"/>
      <c r="I595" s="721"/>
      <c r="J595" s="721"/>
      <c r="K595" s="72"/>
      <c r="L595" s="72"/>
      <c r="M595" s="72"/>
      <c r="N595" s="72"/>
      <c r="O595" s="72"/>
      <c r="P595" s="72"/>
      <c r="Q595" s="72"/>
      <c r="R595" s="72"/>
    </row>
    <row r="596" spans="1:63" ht="15" customHeight="1">
      <c r="A596" s="74"/>
      <c r="B596" s="78"/>
      <c r="C596" s="260"/>
      <c r="D596" s="104"/>
      <c r="E596" s="52"/>
      <c r="F596" s="52"/>
      <c r="G596" s="165"/>
      <c r="H596" s="70"/>
      <c r="I596" s="72"/>
      <c r="J596" s="72"/>
      <c r="K596" s="72"/>
      <c r="L596" s="72"/>
      <c r="M596" s="72"/>
      <c r="N596" s="72"/>
      <c r="O596" s="72"/>
      <c r="P596" s="72"/>
      <c r="Q596" s="72"/>
      <c r="R596" s="72"/>
    </row>
    <row r="597" spans="1:63" ht="15" customHeight="1">
      <c r="A597" s="74"/>
      <c r="B597" s="78"/>
      <c r="C597" s="260"/>
      <c r="D597" s="104"/>
      <c r="E597" s="52"/>
      <c r="F597" s="52"/>
      <c r="G597" s="165"/>
      <c r="H597" s="70"/>
      <c r="I597" s="72"/>
      <c r="J597" s="72"/>
      <c r="K597" s="72"/>
      <c r="L597" s="72"/>
      <c r="M597" s="72"/>
      <c r="N597" s="72"/>
      <c r="O597" s="72"/>
      <c r="P597" s="72"/>
      <c r="Q597" s="72"/>
      <c r="R597" s="72"/>
    </row>
    <row r="598" spans="1:63" ht="15" customHeight="1">
      <c r="A598" s="74"/>
      <c r="B598" s="78"/>
      <c r="C598" s="260"/>
      <c r="D598" s="104"/>
      <c r="E598" s="52"/>
      <c r="F598" s="52"/>
      <c r="G598" s="165"/>
      <c r="H598" s="70"/>
      <c r="I598" s="72"/>
      <c r="J598" s="72"/>
      <c r="K598" s="72"/>
      <c r="L598" s="72"/>
      <c r="M598" s="72"/>
      <c r="N598" s="72"/>
      <c r="O598" s="72"/>
      <c r="P598" s="72"/>
      <c r="Q598" s="72"/>
      <c r="R598" s="72"/>
    </row>
    <row r="599" spans="1:63" ht="15" customHeight="1">
      <c r="A599" s="74"/>
      <c r="B599" s="78"/>
      <c r="C599" s="260"/>
      <c r="D599" s="104"/>
      <c r="E599" s="52"/>
      <c r="F599" s="52"/>
      <c r="G599" s="165"/>
      <c r="H599" s="70"/>
      <c r="I599" s="72"/>
      <c r="J599" s="72"/>
      <c r="K599" s="72"/>
      <c r="L599" s="72"/>
      <c r="M599" s="72"/>
      <c r="N599" s="72"/>
      <c r="O599" s="72"/>
      <c r="P599" s="72"/>
      <c r="Q599" s="72"/>
      <c r="R599" s="72"/>
    </row>
    <row r="600" spans="1:63" ht="15.75" customHeight="1">
      <c r="A600" s="74"/>
      <c r="B600" s="78"/>
      <c r="C600" s="260"/>
      <c r="D600" s="104"/>
      <c r="E600" s="52"/>
      <c r="F600" s="52"/>
      <c r="G600" s="165"/>
      <c r="H600" s="70"/>
      <c r="I600" s="72"/>
      <c r="J600" s="72"/>
      <c r="K600" s="72"/>
      <c r="L600" s="72"/>
      <c r="M600" s="72"/>
      <c r="N600" s="72"/>
      <c r="O600" s="72"/>
      <c r="P600" s="72"/>
      <c r="Q600" s="72"/>
      <c r="R600" s="72"/>
    </row>
    <row r="601" spans="1:63" ht="15" customHeight="1">
      <c r="A601" s="74"/>
      <c r="B601" s="78"/>
      <c r="C601" s="260"/>
      <c r="D601" s="104"/>
      <c r="E601" s="52"/>
      <c r="F601" s="52"/>
      <c r="G601" s="165"/>
      <c r="H601" s="70"/>
      <c r="I601" s="72"/>
      <c r="J601" s="72"/>
      <c r="K601" s="72"/>
      <c r="L601" s="72"/>
      <c r="M601" s="72"/>
      <c r="N601" s="72"/>
      <c r="O601" s="72"/>
      <c r="P601" s="72"/>
      <c r="Q601" s="72"/>
      <c r="R601" s="72"/>
    </row>
    <row r="602" spans="1:63" ht="15" customHeight="1">
      <c r="A602" s="74"/>
      <c r="B602" s="78"/>
      <c r="C602" s="260"/>
      <c r="D602" s="104"/>
      <c r="E602" s="52"/>
      <c r="F602" s="52"/>
      <c r="G602" s="165"/>
      <c r="H602" s="70"/>
      <c r="I602" s="72"/>
      <c r="J602" s="72"/>
      <c r="K602" s="72"/>
      <c r="L602" s="72"/>
      <c r="M602" s="72"/>
      <c r="N602" s="72"/>
      <c r="O602" s="72"/>
      <c r="P602" s="72"/>
      <c r="Q602" s="72"/>
      <c r="R602" s="72"/>
    </row>
    <row r="603" spans="1:63" ht="15" customHeight="1">
      <c r="A603" s="74"/>
      <c r="B603" s="78"/>
      <c r="C603" s="260"/>
      <c r="D603" s="104"/>
      <c r="E603" s="52"/>
      <c r="F603" s="52"/>
      <c r="G603" s="165"/>
      <c r="H603" s="70"/>
      <c r="I603" s="72"/>
      <c r="J603" s="72"/>
      <c r="K603" s="72"/>
      <c r="L603" s="72"/>
      <c r="M603" s="72"/>
      <c r="N603" s="72"/>
      <c r="O603" s="72"/>
      <c r="P603" s="72"/>
      <c r="Q603" s="72"/>
      <c r="R603" s="72"/>
    </row>
    <row r="604" spans="1:63" ht="15" customHeight="1">
      <c r="A604" s="74"/>
      <c r="B604" s="78"/>
      <c r="C604" s="260"/>
      <c r="D604" s="104"/>
      <c r="E604" s="52"/>
      <c r="F604" s="52"/>
      <c r="G604" s="165"/>
      <c r="H604" s="70"/>
      <c r="I604" s="72"/>
      <c r="J604" s="72"/>
      <c r="K604" s="72"/>
      <c r="L604" s="72"/>
      <c r="M604" s="72"/>
      <c r="N604" s="72"/>
      <c r="O604" s="72"/>
      <c r="P604" s="72"/>
      <c r="Q604" s="72"/>
      <c r="R604" s="72"/>
    </row>
    <row r="605" spans="1:63" ht="15.75" customHeight="1">
      <c r="A605" s="74"/>
      <c r="B605" s="78"/>
      <c r="C605" s="260"/>
      <c r="D605" s="104"/>
      <c r="E605" s="52"/>
      <c r="F605" s="52"/>
      <c r="G605" s="165"/>
      <c r="H605" s="70"/>
      <c r="I605" s="72"/>
      <c r="J605" s="72"/>
      <c r="K605" s="72"/>
      <c r="L605" s="72"/>
      <c r="M605" s="72"/>
      <c r="N605" s="72"/>
      <c r="O605" s="72"/>
      <c r="P605" s="72"/>
      <c r="Q605" s="72"/>
      <c r="R605" s="72"/>
    </row>
    <row r="606" spans="1:63" ht="15" customHeight="1">
      <c r="A606" s="74"/>
      <c r="B606" s="78"/>
      <c r="C606" s="260"/>
      <c r="D606" s="104"/>
      <c r="E606" s="52"/>
      <c r="F606" s="52"/>
      <c r="G606" s="165"/>
      <c r="H606" s="70"/>
      <c r="I606" s="72"/>
      <c r="J606" s="72"/>
      <c r="K606" s="72"/>
      <c r="L606" s="72"/>
      <c r="M606" s="72"/>
      <c r="N606" s="72"/>
      <c r="O606" s="72"/>
      <c r="P606" s="72"/>
      <c r="Q606" s="72"/>
      <c r="R606" s="72"/>
    </row>
    <row r="607" spans="1:63" ht="15" customHeight="1">
      <c r="A607" s="74"/>
      <c r="B607" s="78"/>
      <c r="C607" s="260"/>
      <c r="D607" s="104"/>
      <c r="E607" s="52"/>
      <c r="F607" s="52"/>
      <c r="G607" s="165"/>
      <c r="H607" s="70"/>
      <c r="I607" s="72"/>
      <c r="J607" s="72"/>
      <c r="K607" s="72"/>
      <c r="L607" s="72"/>
      <c r="M607" s="72"/>
      <c r="N607" s="72"/>
      <c r="O607" s="72"/>
      <c r="P607" s="72"/>
      <c r="Q607" s="72"/>
      <c r="R607" s="72"/>
    </row>
    <row r="608" spans="1:63" ht="15" customHeight="1">
      <c r="A608" s="74"/>
      <c r="B608" s="78"/>
      <c r="C608" s="260"/>
      <c r="D608" s="104"/>
      <c r="E608" s="52"/>
      <c r="F608" s="52"/>
      <c r="G608" s="165"/>
      <c r="H608" s="70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</row>
    <row r="609" spans="1:63" ht="15" customHeight="1">
      <c r="A609" s="74"/>
      <c r="B609" s="78"/>
      <c r="C609" s="260"/>
      <c r="D609" s="104"/>
      <c r="E609" s="52"/>
      <c r="F609" s="52"/>
      <c r="G609" s="165"/>
      <c r="H609" s="70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</row>
    <row r="610" spans="1:63" ht="15" customHeight="1">
      <c r="A610" s="74"/>
      <c r="B610" s="78"/>
      <c r="C610" s="260"/>
      <c r="D610" s="104"/>
      <c r="E610" s="52"/>
      <c r="F610" s="52"/>
      <c r="G610" s="165"/>
      <c r="H610" s="70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</row>
    <row r="611" spans="1:63" ht="15" customHeight="1">
      <c r="A611" s="74"/>
      <c r="B611" s="78"/>
      <c r="C611" s="260"/>
      <c r="D611" s="104"/>
      <c r="E611" s="52"/>
      <c r="F611" s="52"/>
      <c r="G611" s="165"/>
      <c r="H611" s="70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</row>
    <row r="612" spans="1:63" ht="15" customHeight="1">
      <c r="A612" s="74"/>
      <c r="B612" s="78"/>
      <c r="C612" s="260"/>
      <c r="D612" s="104"/>
      <c r="E612" s="52"/>
      <c r="F612" s="52"/>
      <c r="G612" s="165"/>
      <c r="H612" s="70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</row>
    <row r="613" spans="1:63">
      <c r="A613" s="74"/>
      <c r="B613" s="78"/>
      <c r="C613" s="260"/>
      <c r="D613" s="104"/>
      <c r="E613" s="52"/>
      <c r="F613" s="52"/>
      <c r="G613" s="165"/>
      <c r="H613" s="70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</row>
    <row r="614" spans="1:63">
      <c r="A614" s="74"/>
      <c r="C614" s="260"/>
      <c r="D614" s="104"/>
      <c r="E614" s="52"/>
      <c r="F614" s="52"/>
      <c r="G614" s="165"/>
      <c r="H614" s="70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</row>
  </sheetData>
  <sheetProtection password="CC37" sheet="1" objects="1" scenarios="1" formatCells="0" formatColumns="0" formatRows="0"/>
  <protectedRanges>
    <protectedRange sqref="I555:BP558" name="範圍2_2"/>
    <protectedRange password="CC37" sqref="I555:L558" name="範圍4_2"/>
    <protectedRange sqref="I555:BP558" name="範圍6_2"/>
    <protectedRange sqref="I559:BP1048576 I1:BP554" name="範圍6"/>
    <protectedRange password="CC37" sqref="I593:L1048576 I592:BP592 I559:L591 I1:L554" name="範圍4"/>
    <protectedRange sqref="I559:BP1048576 I1:BP554" name="範圍2"/>
    <protectedRange password="CC37" sqref="E1:G1 A2:G2 A1 C1" name="範圍3"/>
    <protectedRange password="CC37" sqref="E1:G1 A2:G2 A1 C1" name="範圍5"/>
  </protectedRanges>
  <dataConsolidate/>
  <mergeCells count="95">
    <mergeCell ref="A576:A590"/>
    <mergeCell ref="A559:A564"/>
    <mergeCell ref="A469:A528"/>
    <mergeCell ref="I595:J595"/>
    <mergeCell ref="I594:J594"/>
    <mergeCell ref="B594:G594"/>
    <mergeCell ref="I593:J593"/>
    <mergeCell ref="A592:B592"/>
    <mergeCell ref="A565:A575"/>
    <mergeCell ref="A529:A540"/>
    <mergeCell ref="A541:A558"/>
    <mergeCell ref="BI2:BJ2"/>
    <mergeCell ref="AQ2:AR2"/>
    <mergeCell ref="AA2:AB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O2:AP2"/>
    <mergeCell ref="AC2:AD2"/>
    <mergeCell ref="BO2:BP2"/>
    <mergeCell ref="AE2:AF2"/>
    <mergeCell ref="AG2:AH2"/>
    <mergeCell ref="AI2:AJ2"/>
    <mergeCell ref="AK2:AL2"/>
    <mergeCell ref="BK2:BL2"/>
    <mergeCell ref="BM2:BN2"/>
    <mergeCell ref="AS2:AT2"/>
    <mergeCell ref="AU2:AV2"/>
    <mergeCell ref="AW2:AX2"/>
    <mergeCell ref="AY2:AZ2"/>
    <mergeCell ref="BA2:BB2"/>
    <mergeCell ref="BC2:BD2"/>
    <mergeCell ref="BE2:BF2"/>
    <mergeCell ref="AM2:AN2"/>
    <mergeCell ref="BG2:BH2"/>
    <mergeCell ref="AC1:AD1"/>
    <mergeCell ref="AQ1:AR1"/>
    <mergeCell ref="AS1:AT1"/>
    <mergeCell ref="BO1:BP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129:A131"/>
    <mergeCell ref="A388:A394"/>
    <mergeCell ref="O1:P1"/>
    <mergeCell ref="Q1:R1"/>
    <mergeCell ref="AU1:AV1"/>
    <mergeCell ref="S1:T1"/>
    <mergeCell ref="U1:V1"/>
    <mergeCell ref="W1:X1"/>
    <mergeCell ref="Y1:Z1"/>
    <mergeCell ref="AA1:AB1"/>
    <mergeCell ref="AE1:AF1"/>
    <mergeCell ref="AG1:AH1"/>
    <mergeCell ref="AI1:AJ1"/>
    <mergeCell ref="AK1:AL1"/>
    <mergeCell ref="AM1:AN1"/>
    <mergeCell ref="AO1:AP1"/>
    <mergeCell ref="A458:A468"/>
    <mergeCell ref="A417:A444"/>
    <mergeCell ref="A445:A457"/>
    <mergeCell ref="A301:A306"/>
    <mergeCell ref="M1:N1"/>
    <mergeCell ref="A4:A20"/>
    <mergeCell ref="I1:J1"/>
    <mergeCell ref="K1:L1"/>
    <mergeCell ref="A395:A416"/>
    <mergeCell ref="A54:A103"/>
    <mergeCell ref="A104:A128"/>
    <mergeCell ref="A1:F1"/>
    <mergeCell ref="A2:C2"/>
    <mergeCell ref="A132:A165"/>
    <mergeCell ref="A21:A53"/>
    <mergeCell ref="A363:A387"/>
    <mergeCell ref="A166:A176"/>
    <mergeCell ref="A340:A353"/>
    <mergeCell ref="A354:A362"/>
    <mergeCell ref="A196:A203"/>
    <mergeCell ref="A204:A219"/>
    <mergeCell ref="A220:A246"/>
    <mergeCell ref="A247:A300"/>
    <mergeCell ref="A177:A195"/>
    <mergeCell ref="A307:A339"/>
  </mergeCells>
  <phoneticPr fontId="3" type="noConversion"/>
  <hyperlinks>
    <hyperlink ref="G521" r:id="rId1" display="http://eyecolor.com.tw/index.php" xr:uid="{00000000-0004-0000-0000-000000000000}"/>
    <hyperlink ref="G517" r:id="rId2" display="http://eyecolor.com.tw/index.php" xr:uid="{00000000-0004-0000-0000-000001000000}"/>
    <hyperlink ref="G525" r:id="rId3" display="http://eyecolor.com.tw/index.php" xr:uid="{00000000-0004-0000-0000-000002000000}"/>
  </hyperlinks>
  <pageMargins left="0.23622047244094491" right="0.23622047244094491" top="0.74803149606299213" bottom="0.74803149606299213" header="0.31496062992125984" footer="0.31496062992125984"/>
  <pageSetup paperSize="9" scale="55" orientation="landscape" r:id="rId4"/>
  <headerFooter alignWithMargins="0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0" sqref="A20:A22"/>
    </sheetView>
  </sheetViews>
  <sheetFormatPr defaultRowHeight="17"/>
  <cols>
    <col min="1" max="1" width="143.08984375" customWidth="1"/>
  </cols>
  <sheetData>
    <row r="1" spans="1:1">
      <c r="A1" s="122" t="s">
        <v>199</v>
      </c>
    </row>
    <row r="2" spans="1:1">
      <c r="A2" s="122"/>
    </row>
    <row r="3" spans="1:1">
      <c r="A3" s="120" t="s">
        <v>185</v>
      </c>
    </row>
    <row r="4" spans="1:1">
      <c r="A4" s="120"/>
    </row>
    <row r="5" spans="1:1">
      <c r="A5" s="120" t="s">
        <v>276</v>
      </c>
    </row>
    <row r="6" spans="1:1">
      <c r="A6" s="120"/>
    </row>
    <row r="7" spans="1:1">
      <c r="A7" s="120" t="s">
        <v>186</v>
      </c>
    </row>
    <row r="8" spans="1:1">
      <c r="A8" s="120"/>
    </row>
    <row r="9" spans="1:1">
      <c r="A9" s="120" t="s">
        <v>187</v>
      </c>
    </row>
    <row r="11" spans="1:1">
      <c r="A11" s="120" t="s">
        <v>203</v>
      </c>
    </row>
    <row r="12" spans="1:1">
      <c r="A12" s="120"/>
    </row>
    <row r="13" spans="1:1">
      <c r="A13" s="120" t="s">
        <v>274</v>
      </c>
    </row>
    <row r="14" spans="1:1">
      <c r="A14" s="120" t="s">
        <v>275</v>
      </c>
    </row>
    <row r="15" spans="1:1">
      <c r="A15" s="120"/>
    </row>
    <row r="16" spans="1:1">
      <c r="A16" s="120" t="s">
        <v>262</v>
      </c>
    </row>
    <row r="17" spans="1:1">
      <c r="A17" s="120"/>
    </row>
    <row r="18" spans="1:1">
      <c r="A18" s="120" t="s">
        <v>349</v>
      </c>
    </row>
    <row r="19" spans="1:1">
      <c r="A19" s="120"/>
    </row>
    <row r="20" spans="1:1">
      <c r="A20" s="728"/>
    </row>
    <row r="21" spans="1:1">
      <c r="A21" s="728"/>
    </row>
    <row r="22" spans="1:1">
      <c r="A22" s="728"/>
    </row>
    <row r="23" spans="1:1">
      <c r="A23" s="174"/>
    </row>
    <row r="24" spans="1:1" ht="17.399999999999999" customHeight="1">
      <c r="A24" s="174"/>
    </row>
    <row r="25" spans="1:1">
      <c r="A25" s="120"/>
    </row>
    <row r="26" spans="1:1">
      <c r="A26" s="120"/>
    </row>
    <row r="27" spans="1:1">
      <c r="A27" s="120"/>
    </row>
    <row r="28" spans="1:1">
      <c r="A28" s="121"/>
    </row>
  </sheetData>
  <sheetProtection password="CC37" sheet="1" objects="1" scenarios="1"/>
  <mergeCells count="1">
    <mergeCell ref="A20:A2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8"/>
  <sheetViews>
    <sheetView topLeftCell="A4" workbookViewId="0">
      <selection activeCell="A30" sqref="A30"/>
    </sheetView>
  </sheetViews>
  <sheetFormatPr defaultRowHeight="17"/>
  <cols>
    <col min="1" max="1" width="78.36328125" customWidth="1"/>
    <col min="2" max="2" width="3.1796875" customWidth="1"/>
  </cols>
  <sheetData>
    <row r="1" spans="1:2" ht="25">
      <c r="A1" s="45" t="s">
        <v>43</v>
      </c>
      <c r="B1" s="42"/>
    </row>
    <row r="2" spans="1:2">
      <c r="A2" s="43"/>
      <c r="B2" s="42"/>
    </row>
    <row r="3" spans="1:2" ht="17.5" thickBot="1">
      <c r="A3" s="44" t="s">
        <v>1</v>
      </c>
      <c r="B3" s="42"/>
    </row>
    <row r="5" spans="1:2">
      <c r="A5" s="7" t="s">
        <v>66</v>
      </c>
    </row>
    <row r="6" spans="1:2">
      <c r="A6" s="3" t="s">
        <v>498</v>
      </c>
    </row>
    <row r="7" spans="1:2">
      <c r="A7" s="3" t="s">
        <v>49</v>
      </c>
    </row>
    <row r="8" spans="1:2">
      <c r="A8" s="3" t="s">
        <v>78</v>
      </c>
    </row>
    <row r="9" spans="1:2">
      <c r="A9" s="4"/>
    </row>
    <row r="11" spans="1:2">
      <c r="A11" s="8" t="s">
        <v>503</v>
      </c>
    </row>
    <row r="12" spans="1:2">
      <c r="A12" s="1" t="s">
        <v>497</v>
      </c>
    </row>
    <row r="13" spans="1:2">
      <c r="A13" s="1" t="s">
        <v>504</v>
      </c>
    </row>
    <row r="14" spans="1:2">
      <c r="A14" s="1" t="s">
        <v>505</v>
      </c>
    </row>
    <row r="15" spans="1:2">
      <c r="A15" s="47" t="s">
        <v>506</v>
      </c>
    </row>
    <row r="16" spans="1:2">
      <c r="A16" s="2"/>
    </row>
    <row r="18" spans="1:1">
      <c r="A18" s="9" t="s">
        <v>67</v>
      </c>
    </row>
    <row r="19" spans="1:1">
      <c r="A19" s="10" t="s">
        <v>498</v>
      </c>
    </row>
    <row r="20" spans="1:1">
      <c r="A20" s="10" t="s">
        <v>52</v>
      </c>
    </row>
    <row r="21" spans="1:1">
      <c r="A21" s="10" t="s">
        <v>132</v>
      </c>
    </row>
    <row r="22" spans="1:1">
      <c r="A22" s="10"/>
    </row>
    <row r="23" spans="1:1">
      <c r="A23" s="11"/>
    </row>
    <row r="24" spans="1:1" ht="17.5" thickBot="1"/>
    <row r="25" spans="1:1" ht="17.25" customHeight="1">
      <c r="A25" s="14" t="s">
        <v>405</v>
      </c>
    </row>
    <row r="26" spans="1:1">
      <c r="A26" s="15" t="s">
        <v>406</v>
      </c>
    </row>
    <row r="27" spans="1:1">
      <c r="A27" s="15" t="s">
        <v>44</v>
      </c>
    </row>
    <row r="28" spans="1:1">
      <c r="A28" s="15" t="s">
        <v>407</v>
      </c>
    </row>
    <row r="29" spans="1:1">
      <c r="A29" s="20" t="s">
        <v>69</v>
      </c>
    </row>
    <row r="30" spans="1:1" ht="17.5" thickBot="1">
      <c r="A30" s="16" t="s">
        <v>45</v>
      </c>
    </row>
    <row r="31" spans="1:1" ht="17.5" thickBot="1">
      <c r="A31" s="16"/>
    </row>
    <row r="32" spans="1:1" ht="17.5" thickBot="1">
      <c r="A32" s="12"/>
    </row>
    <row r="33" spans="1:1">
      <c r="A33" s="17" t="s">
        <v>408</v>
      </c>
    </row>
    <row r="34" spans="1:1">
      <c r="A34" s="18" t="s">
        <v>403</v>
      </c>
    </row>
    <row r="35" spans="1:1">
      <c r="A35" s="18" t="s">
        <v>404</v>
      </c>
    </row>
    <row r="36" spans="1:1">
      <c r="A36" s="18" t="s">
        <v>70</v>
      </c>
    </row>
    <row r="37" spans="1:1">
      <c r="A37" s="21" t="s">
        <v>47</v>
      </c>
    </row>
    <row r="38" spans="1:1">
      <c r="A38" s="18"/>
    </row>
    <row r="39" spans="1:1">
      <c r="A39" s="18" t="s">
        <v>46</v>
      </c>
    </row>
    <row r="40" spans="1:1">
      <c r="A40" s="18" t="s">
        <v>401</v>
      </c>
    </row>
    <row r="41" spans="1:1">
      <c r="A41" s="18" t="s">
        <v>71</v>
      </c>
    </row>
    <row r="42" spans="1:1">
      <c r="A42" s="21" t="s">
        <v>402</v>
      </c>
    </row>
    <row r="43" spans="1:1" ht="17.5" thickBot="1">
      <c r="A43" s="19"/>
    </row>
    <row r="44" spans="1:1">
      <c r="A44" s="13"/>
    </row>
    <row r="45" spans="1:1">
      <c r="A45" s="22" t="s">
        <v>500</v>
      </c>
    </row>
    <row r="46" spans="1:1">
      <c r="A46" s="23" t="s">
        <v>56</v>
      </c>
    </row>
    <row r="47" spans="1:1">
      <c r="A47" s="23" t="s">
        <v>502</v>
      </c>
    </row>
    <row r="48" spans="1:1">
      <c r="A48" s="23" t="s">
        <v>501</v>
      </c>
    </row>
    <row r="49" spans="1:1">
      <c r="A49" s="23"/>
    </row>
    <row r="50" spans="1:1">
      <c r="A50" s="32" t="s">
        <v>409</v>
      </c>
    </row>
    <row r="51" spans="1:1" ht="17.5" thickBot="1">
      <c r="A51" s="24"/>
    </row>
    <row r="52" spans="1:1" ht="17.5" thickBot="1"/>
    <row r="53" spans="1:1">
      <c r="A53" s="25" t="s">
        <v>51</v>
      </c>
    </row>
    <row r="54" spans="1:1">
      <c r="A54" s="26" t="s">
        <v>57</v>
      </c>
    </row>
    <row r="55" spans="1:1">
      <c r="A55" s="26" t="s">
        <v>52</v>
      </c>
    </row>
    <row r="56" spans="1:1">
      <c r="A56" s="26" t="s">
        <v>72</v>
      </c>
    </row>
    <row r="57" spans="1:1">
      <c r="A57" s="26"/>
    </row>
    <row r="58" spans="1:1">
      <c r="A58" s="31" t="s">
        <v>50</v>
      </c>
    </row>
    <row r="59" spans="1:1" ht="17.5" thickBot="1">
      <c r="A59" s="27"/>
    </row>
    <row r="60" spans="1:1" ht="17.5" thickBot="1"/>
    <row r="61" spans="1:1">
      <c r="A61" s="39" t="s">
        <v>53</v>
      </c>
    </row>
    <row r="62" spans="1:1">
      <c r="A62" s="40" t="s">
        <v>54</v>
      </c>
    </row>
    <row r="63" spans="1:1">
      <c r="A63" s="40" t="s">
        <v>126</v>
      </c>
    </row>
    <row r="64" spans="1:1">
      <c r="A64" s="40" t="s">
        <v>73</v>
      </c>
    </row>
    <row r="65" spans="1:1">
      <c r="A65" s="46" t="s">
        <v>127</v>
      </c>
    </row>
    <row r="66" spans="1:1" ht="17.5" thickBot="1">
      <c r="A66" s="41"/>
    </row>
    <row r="67" spans="1:1" ht="17.5" thickBot="1"/>
    <row r="68" spans="1:1">
      <c r="A68" s="33" t="s">
        <v>55</v>
      </c>
    </row>
    <row r="69" spans="1:1">
      <c r="A69" s="34" t="s">
        <v>54</v>
      </c>
    </row>
    <row r="70" spans="1:1">
      <c r="A70" s="34" t="s">
        <v>48</v>
      </c>
    </row>
    <row r="71" spans="1:1">
      <c r="A71" s="34" t="s">
        <v>74</v>
      </c>
    </row>
    <row r="72" spans="1:1" ht="17.5" thickBot="1">
      <c r="A72" s="35"/>
    </row>
    <row r="74" spans="1:1">
      <c r="A74" s="5" t="s">
        <v>61</v>
      </c>
    </row>
    <row r="75" spans="1:1">
      <c r="A75" s="6" t="s">
        <v>58</v>
      </c>
    </row>
    <row r="76" spans="1:1">
      <c r="A76" s="6" t="s">
        <v>59</v>
      </c>
    </row>
    <row r="77" spans="1:1">
      <c r="A77" s="6" t="s">
        <v>75</v>
      </c>
    </row>
    <row r="78" spans="1:1">
      <c r="A78" s="28"/>
    </row>
    <row r="79" spans="1:1">
      <c r="A79" s="29" t="s">
        <v>60</v>
      </c>
    </row>
    <row r="80" spans="1:1">
      <c r="A80" s="30" t="s">
        <v>50</v>
      </c>
    </row>
    <row r="81" spans="1:1" ht="17.5" thickBot="1"/>
    <row r="82" spans="1:1">
      <c r="A82" s="36" t="s">
        <v>62</v>
      </c>
    </row>
    <row r="83" spans="1:1">
      <c r="A83" s="37" t="s">
        <v>499</v>
      </c>
    </row>
    <row r="84" spans="1:1">
      <c r="A84" s="37" t="s">
        <v>52</v>
      </c>
    </row>
    <row r="85" spans="1:1">
      <c r="A85" s="37" t="s">
        <v>76</v>
      </c>
    </row>
    <row r="86" spans="1:1" ht="17.5" thickBot="1">
      <c r="A86" s="38"/>
    </row>
    <row r="87" spans="1:1" ht="17.5" thickBot="1"/>
    <row r="88" spans="1:1">
      <c r="A88" s="33" t="s">
        <v>63</v>
      </c>
    </row>
    <row r="89" spans="1:1">
      <c r="A89" s="34" t="s">
        <v>64</v>
      </c>
    </row>
    <row r="90" spans="1:1">
      <c r="A90" s="34" t="s">
        <v>65</v>
      </c>
    </row>
    <row r="91" spans="1:1">
      <c r="A91" s="34" t="s">
        <v>77</v>
      </c>
    </row>
    <row r="92" spans="1:1">
      <c r="A92" s="34"/>
    </row>
    <row r="93" spans="1:1" ht="17.5" thickBot="1">
      <c r="A93" s="35"/>
    </row>
    <row r="95" spans="1:1" ht="17.5" thickBot="1"/>
    <row r="96" spans="1:1">
      <c r="A96" s="50" t="s">
        <v>68</v>
      </c>
    </row>
    <row r="97" spans="1:1">
      <c r="A97" s="48" t="s">
        <v>122</v>
      </c>
    </row>
    <row r="98" spans="1:1">
      <c r="A98" s="48" t="s">
        <v>123</v>
      </c>
    </row>
    <row r="99" spans="1:1">
      <c r="A99" s="48" t="s">
        <v>124</v>
      </c>
    </row>
    <row r="100" spans="1:1">
      <c r="A100" s="48"/>
    </row>
    <row r="101" spans="1:1" ht="17.5" thickBot="1">
      <c r="A101" s="49"/>
    </row>
    <row r="102" spans="1:1" ht="17.5" thickBot="1"/>
    <row r="103" spans="1:1">
      <c r="A103" s="50"/>
    </row>
    <row r="104" spans="1:1">
      <c r="A104" s="48"/>
    </row>
    <row r="105" spans="1:1">
      <c r="A105" s="48"/>
    </row>
    <row r="106" spans="1:1">
      <c r="A106" s="48"/>
    </row>
    <row r="107" spans="1:1">
      <c r="A107" s="48"/>
    </row>
    <row r="108" spans="1:1" ht="17.5" thickBot="1">
      <c r="A108" s="49"/>
    </row>
  </sheetData>
  <phoneticPr fontId="3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5" sqref="A5"/>
    </sheetView>
  </sheetViews>
  <sheetFormatPr defaultRowHeight="17"/>
  <cols>
    <col min="1" max="1" width="68" customWidth="1"/>
  </cols>
  <sheetData>
    <row r="1" spans="1:2" ht="27.5">
      <c r="A1" s="97"/>
    </row>
    <row r="2" spans="1:2" ht="27.5">
      <c r="A2" s="98" t="s">
        <v>545</v>
      </c>
    </row>
    <row r="3" spans="1:2" ht="27.5">
      <c r="A3" s="98"/>
    </row>
    <row r="4" spans="1:2" ht="27.5">
      <c r="A4" s="98" t="s">
        <v>131</v>
      </c>
      <c r="B4" s="93"/>
    </row>
    <row r="5" spans="1:2" ht="27.5">
      <c r="A5" s="98"/>
    </row>
    <row r="6" spans="1:2" ht="28" thickBot="1">
      <c r="A6" s="96"/>
    </row>
    <row r="7" spans="1:2" ht="21.5">
      <c r="A7" s="92"/>
    </row>
  </sheetData>
  <sheetProtection password="CC37" sheet="1" objects="1" scenarios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報價單 </vt:lpstr>
      <vt:lpstr>注意事項</vt:lpstr>
      <vt:lpstr>各品牌散光供應範圍</vt:lpstr>
      <vt:lpstr>匯款帳號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winson</dc:creator>
  <cp:lastModifiedBy>Hsu, Timmy 許振鴻 (599992)</cp:lastModifiedBy>
  <cp:lastPrinted>2015-10-29T10:49:05Z</cp:lastPrinted>
  <dcterms:created xsi:type="dcterms:W3CDTF">2009-10-02T07:02:17Z</dcterms:created>
  <dcterms:modified xsi:type="dcterms:W3CDTF">2025-11-07T01:01:47Z</dcterms:modified>
</cp:coreProperties>
</file>